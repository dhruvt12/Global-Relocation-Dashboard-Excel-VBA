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hidePivotFieldList="1"/>
  <mc:AlternateContent xmlns:mc="http://schemas.openxmlformats.org/markup-compatibility/2006">
    <mc:Choice Requires="x15">
      <x15ac:absPath xmlns:x15ac="http://schemas.microsoft.com/office/spreadsheetml/2010/11/ac" url="/Applications/Projects/Global Relocation Dashboard/"/>
    </mc:Choice>
  </mc:AlternateContent>
  <xr:revisionPtr revIDLastSave="0" documentId="13_ncr:1_{E6DEE9E7-7AFB-8344-8430-8E2405D3E171}" xr6:coauthVersionLast="47" xr6:coauthVersionMax="47" xr10:uidLastSave="{00000000-0000-0000-0000-000000000000}"/>
  <bookViews>
    <workbookView xWindow="0" yWindow="760" windowWidth="23260" windowHeight="12460" firstSheet="3" activeTab="8" xr2:uid="{7783B1AC-28C8-4ECB-910D-72AB63C5536C}"/>
  </bookViews>
  <sheets>
    <sheet name="Introduction" sheetId="18" r:id="rId1"/>
    <sheet name="Dashboards" sheetId="16" r:id="rId2"/>
    <sheet name="PrecipitationTable" sheetId="19" r:id="rId3"/>
    <sheet name="PrecipitationInput" sheetId="20" r:id="rId4"/>
    <sheet name="PPP Index" sheetId="17" r:id="rId5"/>
    <sheet name="Pivot" sheetId="15" r:id="rId6"/>
    <sheet name="Region" sheetId="14" r:id="rId7"/>
    <sheet name="Cost" sheetId="1" r:id="rId8"/>
    <sheet name="Quality" sheetId="2" r:id="rId9"/>
    <sheet name="Business Environment" sheetId="6" r:id="rId10"/>
    <sheet name="Internet" sheetId="4" r:id="rId11"/>
    <sheet name="Healthcare" sheetId="5" r:id="rId12"/>
  </sheets>
  <definedNames>
    <definedName name="_xlcn.WorksheetConnection_601FinalProject.xlsxQualityofLife1" hidden="1">QualityofLife[]</definedName>
    <definedName name="_xlcn.WorksheetConnection_601FinalProject.xlsxRegion1" hidden="1">Region[]</definedName>
    <definedName name="_xlcn.WorksheetConnection_601FinalProject1.xlsxBusinessEnvironment1" hidden="1">BusinessEnvironment[]</definedName>
    <definedName name="_xlcn.WorksheetConnection_601FinalProject1.xlsxCost1" hidden="1">Cost[]</definedName>
    <definedName name="_xlcn.WorksheetConnection_601FinalProject1.xlsxHealthcare1" hidden="1">Healthcare[]</definedName>
    <definedName name="_xlcn.WorksheetConnection_601FinalProject1.xlsxInternet1" hidden="1">Internet[]</definedName>
    <definedName name="_xlcn.WorksheetConnection_601FinalProject3rdversion.xlsxpurchasing_power_parity_ppp1" hidden="1">purchasing_power_parity_ppp1[]</definedName>
    <definedName name="ExternalData_1" localSheetId="4" hidden="1">'PPP Index'!$A$2:$D$188</definedName>
    <definedName name="_xlnm.Print_Area" localSheetId="4">'PPP Index'!$A$1:$D$188</definedName>
    <definedName name="Slicer_Region_of_Residence">#N/A</definedName>
  </definedNames>
  <calcPr calcId="191029"/>
  <pivotCaches>
    <pivotCache cacheId="24" r:id="rId13"/>
    <pivotCache cacheId="25" r:id="rId14"/>
    <pivotCache cacheId="26" r:id="rId15"/>
    <pivotCache cacheId="27" r:id="rId16"/>
    <pivotCache cacheId="28" r:id="rId17"/>
    <pivotCache cacheId="29" r:id="rId18"/>
    <pivotCache cacheId="30" r:id="rId19"/>
  </pivotCaches>
  <extLst>
    <ext xmlns:x14="http://schemas.microsoft.com/office/spreadsheetml/2009/9/main" uri="{876F7934-8845-4945-9796-88D515C7AA90}">
      <x14:pivotCaches>
        <pivotCache cacheId="31" r:id="rId20"/>
      </x14:pivotCaches>
    </ex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urchasing-power-parity-ppp_02355a58-dd0c-499f-9675-fadbe5c8a66f" name="purchasing-power-parity-ppp" connection="Query - purchasing-power-parity-ppp"/>
          <x15:modelTable id="Region" name="Region" connection="WorksheetConnection_601 Final Project.xlsx!Region"/>
          <x15:modelTable id="QualityofLife" name="QualityofLife" connection="WorksheetConnection_601 Final Project.xlsx!QualityofLife"/>
          <x15:modelTable id="purchasing_power_parity_ppp" name="purchasing_power_parity_ppp" connection="WorksheetConnection_601 Final Project 3rd version.xlsx!purchasing_power_parity_ppp"/>
          <x15:modelTable id="Internet" name="Internet" connection="WorksheetConnection_601 Final Project 1.xlsx!Internet"/>
          <x15:modelTable id="Healthcare" name="Healthcare" connection="WorksheetConnection_601 Final Project 1.xlsx!Healthcare"/>
          <x15:modelTable id="Cost" name="Cost" connection="WorksheetConnection_601 Final Project 1.xlsx!Cost"/>
          <x15:modelTable id="BusinessEnvironment" name="BusinessEnvironment" connection="WorksheetConnection_601 Final Project 1.xlsx!BusinessEnvironment"/>
        </x15:modelTables>
        <x15:modelRelationships>
          <x15:modelRelationship fromTable="BusinessEnvironment" fromColumn="Region of Residence" toTable="Region" toColumn="Region of Residence"/>
          <x15:modelRelationship fromTable="Cost" fromColumn="Region of Residence" toTable="Region" toColumn="Region of Residence"/>
          <x15:modelRelationship fromTable="Healthcare" fromColumn="Region of Residence" toTable="Region" toColumn="Region of Residence"/>
          <x15:modelRelationship fromTable="Internet" fromColumn="Region of Residence" toTable="Region" toColumn="Region of Residence"/>
          <x15:modelRelationship fromTable="QualityofLife" fromColumn="Region of Residence" toTable="Region" toColumn="Region of Residenc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8" l="1"/>
  <c r="H7" i="2"/>
  <c r="H6" i="2"/>
  <c r="H5" i="2"/>
  <c r="H4" i="2"/>
  <c r="H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B004D8-7F0B-4AA3-9D87-CA48AC28FCC3}" keepAlive="1" name="ModelConnection_ExternalData_1" description="Data Model" type="5" refreshedVersion="8" minRefreshableVersion="5" saveData="1">
    <dbPr connection="Data Model Connection" command="purchasing-power-parity-ppp" commandType="3"/>
    <extLst>
      <ext xmlns:x15="http://schemas.microsoft.com/office/spreadsheetml/2010/11/main" uri="{DE250136-89BD-433C-8126-D09CA5730AF9}">
        <x15:connection id="" model="1"/>
      </ext>
    </extLst>
  </connection>
  <connection id="2" xr16:uid="{0F7A0C4A-4231-4EC7-AB41-0EF5594CFD63}" name="Query - purchasing-power-parity-ppp" description="Connection to the 'purchasing-power-parity-ppp' query in the workbook." type="100" refreshedVersion="8" minRefreshableVersion="5">
    <extLst>
      <ext xmlns:x15="http://schemas.microsoft.com/office/spreadsheetml/2010/11/main" uri="{DE250136-89BD-433C-8126-D09CA5730AF9}">
        <x15:connection id="0f307a2f-5879-454b-8fcb-05abcb99c71f"/>
      </ext>
    </extLst>
  </connection>
  <connection id="3" xr16:uid="{573B6702-792E-433A-B59D-6CE9D44958C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71508FC1-A8FD-4ACC-85A1-31587298DE48}" name="WorksheetConnection_601 Final Project 1.xlsx!BusinessEnvironment" type="102" refreshedVersion="8" minRefreshableVersion="5">
    <extLst>
      <ext xmlns:x15="http://schemas.microsoft.com/office/spreadsheetml/2010/11/main" uri="{DE250136-89BD-433C-8126-D09CA5730AF9}">
        <x15:connection id="BusinessEnvironment">
          <x15:rangePr sourceName="_xlcn.WorksheetConnection_601FinalProject1.xlsxBusinessEnvironment1"/>
        </x15:connection>
      </ext>
    </extLst>
  </connection>
  <connection id="5" xr16:uid="{BC0C0E2E-1D70-4DE4-9A77-D8E03F71B57A}" name="WorksheetConnection_601 Final Project 1.xlsx!Cost" type="102" refreshedVersion="8" minRefreshableVersion="5">
    <extLst>
      <ext xmlns:x15="http://schemas.microsoft.com/office/spreadsheetml/2010/11/main" uri="{DE250136-89BD-433C-8126-D09CA5730AF9}">
        <x15:connection id="Cost">
          <x15:rangePr sourceName="_xlcn.WorksheetConnection_601FinalProject1.xlsxCost1"/>
        </x15:connection>
      </ext>
    </extLst>
  </connection>
  <connection id="6" xr16:uid="{00A8EDF0-FBF5-4EDC-A40E-6E598B8FCA62}" name="WorksheetConnection_601 Final Project 1.xlsx!Healthcare" type="102" refreshedVersion="8" minRefreshableVersion="5">
    <extLst>
      <ext xmlns:x15="http://schemas.microsoft.com/office/spreadsheetml/2010/11/main" uri="{DE250136-89BD-433C-8126-D09CA5730AF9}">
        <x15:connection id="Healthcare">
          <x15:rangePr sourceName="_xlcn.WorksheetConnection_601FinalProject1.xlsxHealthcare1"/>
        </x15:connection>
      </ext>
    </extLst>
  </connection>
  <connection id="7" xr16:uid="{6F7476A9-7EAA-451E-A7AA-1B92A068692C}" name="WorksheetConnection_601 Final Project 1.xlsx!Internet" type="102" refreshedVersion="8" minRefreshableVersion="5">
    <extLst>
      <ext xmlns:x15="http://schemas.microsoft.com/office/spreadsheetml/2010/11/main" uri="{DE250136-89BD-433C-8126-D09CA5730AF9}">
        <x15:connection id="Internet">
          <x15:rangePr sourceName="_xlcn.WorksheetConnection_601FinalProject1.xlsxInternet1"/>
        </x15:connection>
      </ext>
    </extLst>
  </connection>
  <connection id="8" xr16:uid="{22506E7A-654B-49DF-8871-5C66B35EFC88}" name="WorksheetConnection_601 Final Project 3rd version.xlsx!purchasing_power_parity_ppp" type="102" refreshedVersion="8" minRefreshableVersion="5">
    <extLst>
      <ext xmlns:x15="http://schemas.microsoft.com/office/spreadsheetml/2010/11/main" uri="{DE250136-89BD-433C-8126-D09CA5730AF9}">
        <x15:connection id="purchasing_power_parity_ppp" autoDelete="1">
          <x15:rangePr sourceName="_xlcn.WorksheetConnection_601FinalProject3rdversion.xlsxpurchasing_power_parity_ppp1"/>
        </x15:connection>
      </ext>
    </extLst>
  </connection>
  <connection id="9" xr16:uid="{D81BBF59-6A03-46F7-B8B9-D70E2EE5C857}" name="WorksheetConnection_601 Final Project.xlsx!QualityofLife" type="102" refreshedVersion="8" minRefreshableVersion="5">
    <extLst>
      <ext xmlns:x15="http://schemas.microsoft.com/office/spreadsheetml/2010/11/main" uri="{DE250136-89BD-433C-8126-D09CA5730AF9}">
        <x15:connection id="QualityofLife" autoDelete="1">
          <x15:rangePr sourceName="_xlcn.WorksheetConnection_601FinalProject.xlsxQualityofLife1"/>
        </x15:connection>
      </ext>
    </extLst>
  </connection>
  <connection id="10" xr16:uid="{4B25D5D7-079D-4A25-8A2F-654FCEF346AC}" name="WorksheetConnection_601 Final Project.xlsx!Region" type="102" refreshedVersion="8" minRefreshableVersion="5">
    <extLst>
      <ext xmlns:x15="http://schemas.microsoft.com/office/spreadsheetml/2010/11/main" uri="{DE250136-89BD-433C-8126-D09CA5730AF9}">
        <x15:connection id="Region">
          <x15:rangePr sourceName="_xlcn.WorksheetConnection_601FinalProject.xlsxRegion1"/>
        </x15:connection>
      </ext>
    </extLst>
  </connection>
</connections>
</file>

<file path=xl/sharedStrings.xml><?xml version="1.0" encoding="utf-8"?>
<sst xmlns="http://schemas.openxmlformats.org/spreadsheetml/2006/main" count="645" uniqueCount="313">
  <si>
    <t>Best Locations to relocate</t>
  </si>
  <si>
    <t>Author</t>
  </si>
  <si>
    <t>Jiawei</t>
  </si>
  <si>
    <t>Thuy</t>
  </si>
  <si>
    <t>Temirkhan</t>
  </si>
  <si>
    <t>Rameen</t>
  </si>
  <si>
    <t>Date</t>
  </si>
  <si>
    <t>Purpose</t>
  </si>
  <si>
    <t>To evaluate all aspects of standards of living in Hong Kong, Vietnam, Kazahkstan, Pakistan, and United States</t>
  </si>
  <si>
    <t>Dynamic Dashboards Five Countries</t>
  </si>
  <si>
    <t>Cost of Food, Healthcare, and Education</t>
  </si>
  <si>
    <r>
      <rPr>
        <sz val="16"/>
        <color rgb="FF000000"/>
        <rFont val="Trebuchet MS"/>
        <family val="2"/>
        <scheme val="minor"/>
      </rPr>
      <t>Property price to Income ratio</t>
    </r>
    <r>
      <rPr>
        <sz val="10"/>
        <color rgb="FF000000"/>
        <rFont val="Trebuchet MS"/>
        <family val="2"/>
        <scheme val="minor"/>
      </rPr>
      <t>(housing affordability)</t>
    </r>
  </si>
  <si>
    <t>Ease of Doing Business</t>
  </si>
  <si>
    <t>Internet Speed (Mbps)</t>
  </si>
  <si>
    <t>Healthcare Quality &amp; Insurance Coverage</t>
  </si>
  <si>
    <t>Corporate Tax Rates</t>
  </si>
  <si>
    <t>QUESTIONS BEFORE DECIDING:</t>
  </si>
  <si>
    <t>1. Which country aligns best with your preferences?</t>
  </si>
  <si>
    <t>2. Which country would you like to work?</t>
  </si>
  <si>
    <t>3. Do you prefer a country with a lower cost of living or investing in a higher cost of living for better life quality, security, healthcare?</t>
  </si>
  <si>
    <t>4. If you have or plan to have a family, which country's you want to settle down?</t>
  </si>
  <si>
    <t>5. Would you like to live in a new country with exciting opportunities for discovery and new experiences?</t>
  </si>
  <si>
    <t>Precipitation (mm)</t>
  </si>
  <si>
    <t>Data Source</t>
  </si>
  <si>
    <t>Hong Kong</t>
  </si>
  <si>
    <t>Hanoi</t>
  </si>
  <si>
    <t>Astana</t>
  </si>
  <si>
    <t>Islamabad</t>
  </si>
  <si>
    <t>DC</t>
  </si>
  <si>
    <t>Hanoi, Vietnam</t>
  </si>
  <si>
    <t>Astana, Kazakhstan</t>
  </si>
  <si>
    <t>Islamabad, Pakistan</t>
  </si>
  <si>
    <t>DC, United States</t>
  </si>
  <si>
    <t>Each Capital's Precipitation</t>
  </si>
  <si>
    <t>Precipitation Input</t>
  </si>
  <si>
    <t>Washington DC</t>
  </si>
  <si>
    <t>Purchasing Power Parity</t>
  </si>
  <si>
    <t>Conditional Formatting (Highlight 5 Countries)</t>
  </si>
  <si>
    <t>Country</t>
  </si>
  <si>
    <t>Indicator Name</t>
  </si>
  <si>
    <t>Year</t>
  </si>
  <si>
    <t>PPP</t>
  </si>
  <si>
    <t>Website Name: Opendatasoft</t>
  </si>
  <si>
    <t>Data Source (Link)</t>
  </si>
  <si>
    <t>Afghanistan</t>
  </si>
  <si>
    <t>PPP conversion factor, GDP (LCU per international $)</t>
  </si>
  <si>
    <t>Albania</t>
  </si>
  <si>
    <t>Algeria</t>
  </si>
  <si>
    <t>Angola</t>
  </si>
  <si>
    <t>Antigua and Barbuda</t>
  </si>
  <si>
    <t>Argentina</t>
  </si>
  <si>
    <t>Armenia</t>
  </si>
  <si>
    <t>Australia</t>
  </si>
  <si>
    <t>Austria</t>
  </si>
  <si>
    <t>Azerbaijan</t>
  </si>
  <si>
    <t>Bahamas, The</t>
  </si>
  <si>
    <t>Bahrain</t>
  </si>
  <si>
    <t>Bangladesh</t>
  </si>
  <si>
    <t>Barbados</t>
  </si>
  <si>
    <t>Belarus</t>
  </si>
  <si>
    <t>Belgium</t>
  </si>
  <si>
    <t>Belize</t>
  </si>
  <si>
    <t>Benin</t>
  </si>
  <si>
    <t>Bermuda</t>
  </si>
  <si>
    <t>Bhutan</t>
  </si>
  <si>
    <t>Bolivia</t>
  </si>
  <si>
    <t>Bosnia and Herzegovina</t>
  </si>
  <si>
    <t>Botswana</t>
  </si>
  <si>
    <t>Brazil</t>
  </si>
  <si>
    <t>Brunei Darussalam</t>
  </si>
  <si>
    <t>Bulgaria</t>
  </si>
  <si>
    <t>Burkina Faso</t>
  </si>
  <si>
    <t>Burundi</t>
  </si>
  <si>
    <t>Cabo Verde</t>
  </si>
  <si>
    <t>Cambodia</t>
  </si>
  <si>
    <t>Cameroon</t>
  </si>
  <si>
    <t>Canada</t>
  </si>
  <si>
    <t>Central African Republic</t>
  </si>
  <si>
    <t>Chad</t>
  </si>
  <si>
    <t>Chile</t>
  </si>
  <si>
    <t>China</t>
  </si>
  <si>
    <t>Colombia</t>
  </si>
  <si>
    <t>Comoros</t>
  </si>
  <si>
    <t>Congo, Dem. Rep.</t>
  </si>
  <si>
    <t>Congo, Rep.</t>
  </si>
  <si>
    <t>Costa Rica</t>
  </si>
  <si>
    <t>Cote d'Ivoire</t>
  </si>
  <si>
    <t>Croatia</t>
  </si>
  <si>
    <t>Curacao</t>
  </si>
  <si>
    <t>Cyprus</t>
  </si>
  <si>
    <t>Czech Republic</t>
  </si>
  <si>
    <t>Denmark</t>
  </si>
  <si>
    <t>Djibouti</t>
  </si>
  <si>
    <t>Dominica</t>
  </si>
  <si>
    <t>Dominican Republic</t>
  </si>
  <si>
    <t>Ecuador</t>
  </si>
  <si>
    <t>Egypt, Arab Rep.</t>
  </si>
  <si>
    <t>El Salvador</t>
  </si>
  <si>
    <t>Equatorial Guinea</t>
  </si>
  <si>
    <t>Estonia</t>
  </si>
  <si>
    <t>Eswatini</t>
  </si>
  <si>
    <t>Ethiopia</t>
  </si>
  <si>
    <t>Fiji</t>
  </si>
  <si>
    <t>Finland</t>
  </si>
  <si>
    <t>France</t>
  </si>
  <si>
    <t>Gabon</t>
  </si>
  <si>
    <t>Gambia, The</t>
  </si>
  <si>
    <t>Georgia</t>
  </si>
  <si>
    <t>Germany</t>
  </si>
  <si>
    <t>Ghana</t>
  </si>
  <si>
    <t>Greece</t>
  </si>
  <si>
    <t>Grenada</t>
  </si>
  <si>
    <t>Guatemala</t>
  </si>
  <si>
    <t>Guinea</t>
  </si>
  <si>
    <t>Guinea-Bissau</t>
  </si>
  <si>
    <t>Guyana</t>
  </si>
  <si>
    <t>Haiti</t>
  </si>
  <si>
    <t>Honduras</t>
  </si>
  <si>
    <t>Hungary</t>
  </si>
  <si>
    <t>Iceland</t>
  </si>
  <si>
    <t>India</t>
  </si>
  <si>
    <t>Indonesia</t>
  </si>
  <si>
    <t>Iran, Islamic Rep.</t>
  </si>
  <si>
    <t>Iraq</t>
  </si>
  <si>
    <t>Ireland</t>
  </si>
  <si>
    <t>Israel</t>
  </si>
  <si>
    <t>Italy</t>
  </si>
  <si>
    <t>Jamaica</t>
  </si>
  <si>
    <t>Japan</t>
  </si>
  <si>
    <t>Jordan</t>
  </si>
  <si>
    <t>Kazakhstan</t>
  </si>
  <si>
    <t>Kenya</t>
  </si>
  <si>
    <t>Kiribati</t>
  </si>
  <si>
    <t>Korea, Rep.</t>
  </si>
  <si>
    <t>Kosovo</t>
  </si>
  <si>
    <t>Kuwait</t>
  </si>
  <si>
    <t>Kyrgyz Republic</t>
  </si>
  <si>
    <t>Lao PDR</t>
  </si>
  <si>
    <t>Latvia</t>
  </si>
  <si>
    <t>Lebanon</t>
  </si>
  <si>
    <t>Lesotho</t>
  </si>
  <si>
    <t>Liberia</t>
  </si>
  <si>
    <t>Libya</t>
  </si>
  <si>
    <t>Lithuania</t>
  </si>
  <si>
    <t>Luxembourg</t>
  </si>
  <si>
    <t>Macao SAR, China</t>
  </si>
  <si>
    <t>Madagascar</t>
  </si>
  <si>
    <t>Malawi</t>
  </si>
  <si>
    <t>Malaysia</t>
  </si>
  <si>
    <t>Maldives</t>
  </si>
  <si>
    <t>Mali</t>
  </si>
  <si>
    <t>Malta</t>
  </si>
  <si>
    <t>Mauritania</t>
  </si>
  <si>
    <t>Mauritius</t>
  </si>
  <si>
    <t>Mexico</t>
  </si>
  <si>
    <t>Moldova</t>
  </si>
  <si>
    <t>Mongolia</t>
  </si>
  <si>
    <t>Montenegro</t>
  </si>
  <si>
    <t>Morocco</t>
  </si>
  <si>
    <t>Mozambique</t>
  </si>
  <si>
    <t>Myanmar</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</si>
  <si>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</si>
  <si>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</si>
  <si>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</si>
  <si>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</si>
  <si>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</si>
  <si>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</si>
  <si>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</si>
  <si>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</si>
  <si>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</si>
  <si>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</si>
  <si>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</si>
  <si>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</si>
  <si>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</si>
  <si>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</si>
  <si>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</si>
  <si>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</si>
  <si>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</si>
  <si>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</si>
  <si>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</si>
  <si>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</si>
  <si>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Puerto Rico</t>
  </si>
  <si>
    <t>Qatar</t>
  </si>
  <si>
    <t>Romania</t>
  </si>
  <si>
    <t>Russian Federation</t>
  </si>
  <si>
    <t>Rwanda</t>
  </si>
  <si>
    <t>Samoa</t>
  </si>
  <si>
    <t>Sao Tome and Principe</t>
  </si>
  <si>
    <t>Saudi Arabia</t>
  </si>
  <si>
    <t>Senegal</t>
  </si>
  <si>
    <t>Serbia</t>
  </si>
  <si>
    <t>Seychelles</t>
  </si>
  <si>
    <t>Sierra Leone</t>
  </si>
  <si>
    <t>Singapore</t>
  </si>
  <si>
    <t>Slovak Republic</t>
  </si>
  <si>
    <t>Slovenia</t>
  </si>
  <si>
    <t>Solomon Islands</t>
  </si>
  <si>
    <t>South Africa</t>
  </si>
  <si>
    <t>Spain</t>
  </si>
  <si>
    <t>Sri Lanka</t>
  </si>
  <si>
    <t>St. Kitts and Nevis</t>
  </si>
  <si>
    <t>St. Lucia</t>
  </si>
  <si>
    <t>St. Vincent and the Grenadines</t>
  </si>
  <si>
    <t>Sudan</t>
  </si>
  <si>
    <t>Suriname</t>
  </si>
  <si>
    <t>Sweden</t>
  </si>
  <si>
    <t>Switzerland</t>
  </si>
  <si>
    <t>Tajikistan</t>
  </si>
  <si>
    <t>Tanzania</t>
  </si>
  <si>
    <t>Thailand</t>
  </si>
  <si>
    <t>Timor-Leste</t>
  </si>
  <si>
    <t>Togo</t>
  </si>
  <si>
    <t>Tonga</t>
  </si>
  <si>
    <t>Trinidad and Tobago</t>
  </si>
  <si>
    <t>Tunisia</t>
  </si>
  <si>
    <t>Turkey</t>
  </si>
  <si>
    <t>Turks and Caicos Islands</t>
  </si>
  <si>
    <t>Tuvalu</t>
  </si>
  <si>
    <t>Uganda</t>
  </si>
  <si>
    <t>Ukraine</t>
  </si>
  <si>
    <t>United Arab Emirates</t>
  </si>
  <si>
    <t>United Kingdom</t>
  </si>
  <si>
    <t>United States</t>
  </si>
  <si>
    <t>Uruguay</t>
  </si>
  <si>
    <t>Uzbekistan</t>
  </si>
  <si>
    <t>Vanuatu</t>
  </si>
  <si>
    <t>Vietnam</t>
  </si>
  <si>
    <t>West Bank and Gaza</t>
  </si>
  <si>
    <t>Zambia</t>
  </si>
  <si>
    <t>Zimbabwe</t>
  </si>
  <si>
    <t>Pivot Table</t>
  </si>
  <si>
    <t>Countries</t>
  </si>
  <si>
    <t>Food</t>
  </si>
  <si>
    <t>Healthcare</t>
  </si>
  <si>
    <t>Education</t>
  </si>
  <si>
    <t>Grand Total</t>
  </si>
  <si>
    <t>Property/income</t>
  </si>
  <si>
    <t>GDP per capita</t>
  </si>
  <si>
    <t>Ease of doing business</t>
  </si>
  <si>
    <t xml:space="preserve"> </t>
  </si>
  <si>
    <t>Healthcare Quality</t>
  </si>
  <si>
    <t>Health Insurance Coverage</t>
  </si>
  <si>
    <t>Hong Kong SAR, China</t>
  </si>
  <si>
    <t>Row Labels</t>
  </si>
  <si>
    <t>Corporate Tax rates</t>
  </si>
  <si>
    <t>Region of Residence</t>
  </si>
  <si>
    <t>Cost of Living Index</t>
  </si>
  <si>
    <t>Housing Price to Income Ratio</t>
  </si>
  <si>
    <t>Transportation (One way bus fare)</t>
  </si>
  <si>
    <t>Inflation Rates</t>
  </si>
  <si>
    <t>Currency Purchasing Power</t>
  </si>
  <si>
    <t>Average Personal Income Tax Rates</t>
  </si>
  <si>
    <t>Cost of a Vacation (A week)</t>
  </si>
  <si>
    <t xml:space="preserve">Data Source (Link): </t>
  </si>
  <si>
    <t>Website Name</t>
  </si>
  <si>
    <t>Cost of a Vacation</t>
  </si>
  <si>
    <t>Medium</t>
  </si>
  <si>
    <t>Average Personal Income Tax Rate</t>
  </si>
  <si>
    <t>TradingEconomics</t>
  </si>
  <si>
    <t>TheGlobalEconomy</t>
  </si>
  <si>
    <t>Transportation</t>
  </si>
  <si>
    <t>Numbeo</t>
  </si>
  <si>
    <t>Quality of Life Index</t>
  </si>
  <si>
    <t>Life Expectancy</t>
  </si>
  <si>
    <t>Education Index (Literacy or school enrollment)</t>
  </si>
  <si>
    <t>Safety Rate</t>
  </si>
  <si>
    <t>Pollution Index</t>
  </si>
  <si>
    <t>Climate Index</t>
  </si>
  <si>
    <t>Property price to income ratio</t>
  </si>
  <si>
    <t>Traffic commute time index</t>
  </si>
  <si>
    <t>Personal Freedom and Human Rights</t>
  </si>
  <si>
    <t>Data Source (Link):</t>
  </si>
  <si>
    <t>Worldometer</t>
  </si>
  <si>
    <t>Education Index</t>
  </si>
  <si>
    <t>wisevoter</t>
  </si>
  <si>
    <t>IMF</t>
  </si>
  <si>
    <t>Safety Index</t>
  </si>
  <si>
    <t>Traffic Commute Time Index</t>
  </si>
  <si>
    <t>Freedom Index</t>
  </si>
  <si>
    <t>WorldPopulationReview</t>
  </si>
  <si>
    <t>Business Environment</t>
  </si>
  <si>
    <t>Ease of doing business Index</t>
  </si>
  <si>
    <t>Innovation Ranking</t>
  </si>
  <si>
    <t>Corruption Index</t>
  </si>
  <si>
    <t>Intellectual Property Protection Index</t>
  </si>
  <si>
    <t>Stock Market Cap (Million)</t>
  </si>
  <si>
    <t>Median Income</t>
  </si>
  <si>
    <t>Transportation Index</t>
  </si>
  <si>
    <t>Ease of doing business index</t>
  </si>
  <si>
    <t>WorldEconomies</t>
  </si>
  <si>
    <t>Taxfoundation</t>
  </si>
  <si>
    <t>Wipo</t>
  </si>
  <si>
    <t>Wikipedia</t>
  </si>
  <si>
    <t>Internationalpropertyindexrights</t>
  </si>
  <si>
    <t>Worldpopulationreview</t>
  </si>
  <si>
    <t>WorldBank</t>
  </si>
  <si>
    <t>Internet</t>
  </si>
  <si>
    <t>Cost per Mbps</t>
  </si>
  <si>
    <t>Internet Penetration Rate</t>
  </si>
  <si>
    <t>Internet Censorship Index</t>
  </si>
  <si>
    <t>Cybersecurity Index</t>
  </si>
  <si>
    <t>Internet Speed</t>
  </si>
  <si>
    <t>Freedomhouse</t>
  </si>
  <si>
    <t>Physician Density (per 1000 people)</t>
  </si>
  <si>
    <t>Hospital Bed Density</t>
  </si>
  <si>
    <t>Doctors (per 10000)</t>
  </si>
  <si>
    <t xml:space="preserve">Health Care Index </t>
  </si>
  <si>
    <t>Healthcare Access and Quality</t>
  </si>
  <si>
    <t>Physician Density</t>
  </si>
  <si>
    <t>Worldbank</t>
  </si>
  <si>
    <t>who</t>
  </si>
  <si>
    <t>Health Care Index</t>
  </si>
  <si>
    <t>Ourworldindata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</si>
</sst>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quot;$&quot;#,##0.00"/>
    <numFmt numFmtId="165" formatCode="m/d/yy;@"/>
    <numFmt numFmtId="166" formatCode="0.0"/>
    <numFmt numFmtId="167" formatCode="_(&quot;$&quot;* #,##0_);_(&quot;$&quot;* \(#,##0\);_(&quot;$&quot;* &quot;-&quot;??_);_(@_)"/>
  </numFmts>
  <fonts count="34" x14ac:knownFonts="1">
    <font>
      <sz val="11"/>
      <color theme="1"/>
      <name val="Trebuchet MS"/>
      <family val="2"/>
      <scheme val="minor"/>
    </font>
    <font>
      <b/>
      <sz val="15"/>
      <color theme="3"/>
      <name val="Trebuchet MS"/>
      <family val="2"/>
      <scheme val="minor"/>
    </font>
    <font>
      <b/>
      <sz val="20"/>
      <color theme="3"/>
      <name val="Trebuchet MS"/>
      <family val="2"/>
      <scheme val="minor"/>
    </font>
    <font>
      <u/>
      <sz val="11"/>
      <color theme="10"/>
      <name val="Trebuchet MS"/>
      <family val="2"/>
      <scheme val="minor"/>
    </font>
    <font>
      <sz val="11"/>
      <color theme="1"/>
      <name val="Trebuchet MS"/>
      <family val="2"/>
      <scheme val="minor"/>
    </font>
    <font>
      <sz val="10"/>
      <color rgb="FF000000"/>
      <name val="Arial"/>
      <family val="2"/>
    </font>
    <font>
      <b/>
      <sz val="12"/>
      <color theme="1"/>
      <name val="Trebuchet MS"/>
      <family val="2"/>
      <scheme val="minor"/>
    </font>
    <font>
      <b/>
      <sz val="11"/>
      <color theme="1"/>
      <name val="Trebuchet MS"/>
      <family val="2"/>
      <scheme val="minor"/>
    </font>
    <font>
      <sz val="11"/>
      <color theme="0"/>
      <name val="Trebuchet MS"/>
      <family val="2"/>
      <scheme val="minor"/>
    </font>
    <font>
      <b/>
      <sz val="36"/>
      <color theme="3"/>
      <name val="Trebuchet MS"/>
      <family val="2"/>
      <scheme val="minor"/>
    </font>
    <font>
      <sz val="12"/>
      <color theme="1"/>
      <name val="Trebuchet MS"/>
      <family val="2"/>
      <scheme val="minor"/>
    </font>
    <font>
      <sz val="24"/>
      <color theme="9" tint="-0.249977111117893"/>
      <name val="Lucida Calligraphy"/>
      <family val="4"/>
    </font>
    <font>
      <sz val="11"/>
      <color theme="0" tint="-4.9989318521683403E-2"/>
      <name val="Trebuchet MS"/>
      <family val="2"/>
      <scheme val="minor"/>
    </font>
    <font>
      <sz val="11"/>
      <color theme="9" tint="-0.249977111117893"/>
      <name val="Trebuchet MS"/>
      <family val="2"/>
      <scheme val="minor"/>
    </font>
    <font>
      <b/>
      <sz val="16"/>
      <color theme="3"/>
      <name val="Trebuchet MS"/>
      <family val="2"/>
      <scheme val="minor"/>
    </font>
    <font>
      <b/>
      <sz val="11"/>
      <color theme="9" tint="-0.249977111117893"/>
      <name val="Trebuchet MS"/>
      <family val="2"/>
      <scheme val="minor"/>
    </font>
    <font>
      <sz val="18"/>
      <color theme="3"/>
      <name val="Trebuchet MS"/>
      <family val="2"/>
      <scheme val="major"/>
    </font>
    <font>
      <b/>
      <sz val="14"/>
      <color theme="1"/>
      <name val="Trebuchet MS"/>
      <family val="2"/>
      <scheme val="minor"/>
    </font>
    <font>
      <b/>
      <sz val="18"/>
      <color theme="2" tint="-0.749992370372631"/>
      <name val="Aharoni"/>
      <charset val="177"/>
    </font>
    <font>
      <sz val="11"/>
      <color theme="1"/>
      <name val="Century Gothic"/>
      <family val="2"/>
    </font>
    <font>
      <sz val="20"/>
      <color theme="0"/>
      <name val="Century Gothic"/>
      <family val="2"/>
    </font>
    <font>
      <sz val="14"/>
      <color theme="1"/>
      <name val="Century Gothic"/>
      <family val="2"/>
    </font>
    <font>
      <sz val="12"/>
      <color theme="1"/>
      <name val="Century Gothic"/>
      <family val="2"/>
    </font>
    <font>
      <sz val="16"/>
      <color theme="1"/>
      <name val="Trebuchet MS"/>
      <family val="2"/>
      <scheme val="minor"/>
    </font>
    <font>
      <sz val="12"/>
      <color theme="2" tint="-0.89999084444715716"/>
      <name val="Trebuchet MS"/>
      <family val="2"/>
      <scheme val="minor"/>
    </font>
    <font>
      <b/>
      <u/>
      <sz val="14"/>
      <color theme="10"/>
      <name val="Trebuchet MS"/>
      <family val="2"/>
      <scheme val="minor"/>
    </font>
    <font>
      <b/>
      <sz val="11"/>
      <color theme="7" tint="-0.249977111117893"/>
      <name val="Trebuchet MS"/>
      <family val="2"/>
      <scheme val="minor"/>
    </font>
    <font>
      <sz val="11"/>
      <color theme="1"/>
      <name val="Times New Roman"/>
      <family val="1"/>
    </font>
    <font>
      <b/>
      <sz val="14"/>
      <color rgb="FF0C9A73"/>
      <name val="Calibri"/>
      <family val="2"/>
    </font>
    <font>
      <sz val="16"/>
      <color rgb="FF000000"/>
      <name val="Trebuchet MS"/>
      <family val="2"/>
      <scheme val="minor"/>
    </font>
    <font>
      <sz val="10"/>
      <color rgb="FF000000"/>
      <name val="Trebuchet MS"/>
      <family val="2"/>
      <scheme val="minor"/>
    </font>
    <font>
      <sz val="11"/>
      <color theme="7" tint="-0.499984740745262"/>
      <name val="Times New Roman"/>
      <family val="1"/>
    </font>
    <font>
      <sz val="12"/>
      <color rgb="FF000000"/>
      <name val="Trebuchet MS"/>
      <family val="2"/>
    </font>
    <font>
      <sz val="11"/>
      <color rgb="FF000000"/>
      <name val="Trebuchet MS"/>
      <family val="2"/>
    </font>
  </fonts>
  <fills count="9">
    <fill>
      <patternFill patternType="none"/>
    </fill>
    <fill>
      <patternFill patternType="gray125"/>
    </fill>
    <fill>
      <patternFill patternType="solid">
        <fgColor theme="4"/>
      </patternFill>
    </fill>
    <fill>
      <patternFill patternType="solid">
        <fgColor theme="9" tint="-0.249977111117893"/>
        <bgColor indexed="64"/>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9" tint="-0.24994659260841701"/>
        <bgColor indexed="64"/>
      </patternFill>
    </fill>
  </fills>
  <borders count="16">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auto="1"/>
      </left>
      <right/>
      <top/>
      <bottom/>
      <diagonal/>
    </border>
    <border>
      <left style="thick">
        <color indexed="64"/>
      </left>
      <right style="thick">
        <color indexed="64"/>
      </right>
      <top style="thick">
        <color indexed="64"/>
      </top>
      <bottom style="thick">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s>
  <cellStyleXfs count="7">
    <xf numFmtId="0" fontId="0" fillId="0" borderId="0"/>
    <xf numFmtId="0" fontId="1" fillId="0" borderId="1" applyNumberFormat="0" applyFill="0" applyAlignment="0" applyProtection="0"/>
    <xf numFmtId="0" fontId="3"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8" fillId="2" borderId="0" applyNumberFormat="0" applyBorder="0" applyAlignment="0" applyProtection="0"/>
    <xf numFmtId="0" fontId="16" fillId="0" borderId="0" applyNumberFormat="0" applyFill="0" applyBorder="0" applyAlignment="0" applyProtection="0"/>
  </cellStyleXfs>
  <cellXfs count="73">
    <xf numFmtId="0" fontId="0" fillId="0" borderId="0" xfId="0"/>
    <xf numFmtId="0" fontId="0" fillId="0" borderId="0" xfId="0" applyAlignment="1">
      <alignment vertical="center"/>
    </xf>
    <xf numFmtId="0" fontId="0" fillId="0" borderId="0" xfId="0" applyAlignment="1">
      <alignment horizontal="left" vertical="center"/>
    </xf>
    <xf numFmtId="0" fontId="0" fillId="0" borderId="0" xfId="0" applyAlignment="1">
      <alignment wrapText="1"/>
    </xf>
    <xf numFmtId="6" fontId="0" fillId="0" borderId="0" xfId="0" applyNumberFormat="1"/>
    <xf numFmtId="0" fontId="3" fillId="0" borderId="0" xfId="2"/>
    <xf numFmtId="2" fontId="0" fillId="0" borderId="0" xfId="0" applyNumberFormat="1"/>
    <xf numFmtId="10" fontId="0" fillId="0" borderId="0" xfId="0" applyNumberFormat="1"/>
    <xf numFmtId="9" fontId="0" fillId="0" borderId="0" xfId="0" applyNumberFormat="1"/>
    <xf numFmtId="164" fontId="0" fillId="0" borderId="0" xfId="0" applyNumberFormat="1"/>
    <xf numFmtId="44" fontId="0" fillId="0" borderId="0" xfId="3" applyFont="1"/>
    <xf numFmtId="0" fontId="5" fillId="0" borderId="0" xfId="0" applyFont="1"/>
    <xf numFmtId="9" fontId="0" fillId="0" borderId="0" xfId="4" applyFont="1"/>
    <xf numFmtId="0" fontId="6" fillId="0" borderId="0" xfId="0" applyFont="1"/>
    <xf numFmtId="0" fontId="0" fillId="0" borderId="0" xfId="0" pivotButton="1"/>
    <xf numFmtId="0" fontId="0" fillId="0" borderId="0" xfId="0" applyAlignment="1">
      <alignment horizontal="left"/>
    </xf>
    <xf numFmtId="0" fontId="7" fillId="0" borderId="0" xfId="0" applyFont="1"/>
    <xf numFmtId="0" fontId="12" fillId="3" borderId="2" xfId="0" applyFont="1" applyFill="1" applyBorder="1" applyAlignment="1">
      <alignment vertical="top" wrapText="1"/>
    </xf>
    <xf numFmtId="0" fontId="13" fillId="0" borderId="2" xfId="0" applyFont="1" applyBorder="1" applyAlignment="1">
      <alignment vertical="top" wrapText="1"/>
    </xf>
    <xf numFmtId="0" fontId="13" fillId="0" borderId="0" xfId="0" applyFont="1" applyAlignment="1">
      <alignment vertical="top" wrapText="1"/>
    </xf>
    <xf numFmtId="0" fontId="15" fillId="0" borderId="2" xfId="0" applyFont="1" applyBorder="1" applyAlignment="1">
      <alignment vertical="top" wrapText="1"/>
    </xf>
    <xf numFmtId="0" fontId="0" fillId="4" borderId="0" xfId="0" applyFill="1"/>
    <xf numFmtId="0" fontId="10" fillId="4" borderId="0" xfId="0" applyFont="1" applyFill="1"/>
    <xf numFmtId="1" fontId="10" fillId="4" borderId="0" xfId="0" applyNumberFormat="1" applyFont="1" applyFill="1"/>
    <xf numFmtId="2" fontId="10" fillId="4" borderId="0" xfId="0" applyNumberFormat="1" applyFont="1" applyFill="1"/>
    <xf numFmtId="0" fontId="19" fillId="0" borderId="0" xfId="0" applyFont="1"/>
    <xf numFmtId="0" fontId="19" fillId="8" borderId="0" xfId="0" applyFont="1" applyFill="1"/>
    <xf numFmtId="0" fontId="22" fillId="6" borderId="2" xfId="0" applyFont="1" applyFill="1" applyBorder="1" applyAlignment="1">
      <alignment horizontal="right"/>
    </xf>
    <xf numFmtId="165" fontId="0" fillId="0" borderId="0" xfId="0" applyNumberFormat="1"/>
    <xf numFmtId="0" fontId="7" fillId="0" borderId="13" xfId="0" applyFont="1" applyBorder="1"/>
    <xf numFmtId="0" fontId="3" fillId="0" borderId="13" xfId="2" applyBorder="1"/>
    <xf numFmtId="166" fontId="0" fillId="0" borderId="0" xfId="0" applyNumberFormat="1"/>
    <xf numFmtId="167" fontId="0" fillId="0" borderId="0" xfId="3" applyNumberFormat="1" applyFont="1"/>
    <xf numFmtId="10" fontId="0" fillId="0" borderId="0" xfId="0" applyNumberFormat="1" applyAlignment="1">
      <alignment wrapText="1"/>
    </xf>
    <xf numFmtId="0" fontId="23" fillId="4" borderId="0" xfId="0" applyFont="1" applyFill="1"/>
    <xf numFmtId="0" fontId="24" fillId="4" borderId="0" xfId="0" applyFont="1" applyFill="1" applyAlignment="1">
      <alignment horizontal="center" vertical="center"/>
    </xf>
    <xf numFmtId="1" fontId="23" fillId="4" borderId="0" xfId="0" applyNumberFormat="1" applyFont="1" applyFill="1"/>
    <xf numFmtId="2" fontId="23" fillId="4" borderId="0" xfId="0" applyNumberFormat="1" applyFont="1" applyFill="1"/>
    <xf numFmtId="0" fontId="17" fillId="4" borderId="0" xfId="0" applyFont="1" applyFill="1"/>
    <xf numFmtId="0" fontId="25" fillId="4" borderId="0" xfId="2" applyFont="1" applyFill="1"/>
    <xf numFmtId="0" fontId="26" fillId="4" borderId="0" xfId="0" applyFont="1" applyFill="1"/>
    <xf numFmtId="0" fontId="28" fillId="0" borderId="0" xfId="0" applyFont="1"/>
    <xf numFmtId="0" fontId="27" fillId="0" borderId="14" xfId="0" applyFont="1" applyBorder="1" applyAlignment="1">
      <alignment horizontal="left" vertical="top" wrapText="1"/>
    </xf>
    <xf numFmtId="0" fontId="31" fillId="4" borderId="15" xfId="0" applyFont="1" applyFill="1" applyBorder="1" applyAlignment="1">
      <alignment horizontal="center" vertical="center" wrapText="1"/>
    </xf>
    <xf numFmtId="0" fontId="11" fillId="0" borderId="0" xfId="0" applyFont="1" applyAlignment="1">
      <alignment horizontal="center"/>
    </xf>
    <xf numFmtId="0" fontId="12" fillId="3" borderId="4" xfId="0" applyFont="1" applyFill="1" applyBorder="1" applyAlignment="1">
      <alignment horizontal="left" vertical="center" wrapText="1"/>
    </xf>
    <xf numFmtId="0" fontId="12" fillId="3" borderId="0" xfId="0" applyFont="1" applyFill="1" applyAlignment="1">
      <alignment horizontal="left" vertical="center" wrapText="1"/>
    </xf>
    <xf numFmtId="0" fontId="13" fillId="0" borderId="3" xfId="0" applyFont="1" applyBorder="1" applyAlignment="1">
      <alignment horizontal="left" vertical="top" wrapText="1"/>
    </xf>
    <xf numFmtId="0" fontId="13" fillId="0" borderId="4" xfId="0" applyFont="1" applyBorder="1" applyAlignment="1">
      <alignment horizontal="left" vertical="top" wrapText="1"/>
    </xf>
    <xf numFmtId="0" fontId="13" fillId="0" borderId="5" xfId="0" applyFont="1" applyBorder="1" applyAlignment="1">
      <alignment horizontal="left" vertical="top" wrapText="1"/>
    </xf>
    <xf numFmtId="0" fontId="13" fillId="0" borderId="6" xfId="0" applyFont="1" applyBorder="1" applyAlignment="1">
      <alignment horizontal="left" vertical="top" wrapText="1"/>
    </xf>
    <xf numFmtId="0" fontId="13" fillId="0" borderId="7" xfId="0" applyFont="1" applyBorder="1" applyAlignment="1">
      <alignment horizontal="left" vertical="top" wrapText="1"/>
    </xf>
    <xf numFmtId="0" fontId="13" fillId="0" borderId="8" xfId="0" applyFont="1" applyBorder="1" applyAlignment="1">
      <alignment horizontal="left" vertical="top" wrapText="1"/>
    </xf>
    <xf numFmtId="14" fontId="13" fillId="0" borderId="9" xfId="0" applyNumberFormat="1" applyFont="1" applyBorder="1" applyAlignment="1">
      <alignment horizontal="left" vertical="top" wrapText="1"/>
    </xf>
    <xf numFmtId="0" fontId="13" fillId="0" borderId="10" xfId="0" applyFont="1" applyBorder="1" applyAlignment="1">
      <alignment horizontal="left" vertical="top" wrapText="1"/>
    </xf>
    <xf numFmtId="0" fontId="13" fillId="0" borderId="11" xfId="0" applyFont="1" applyBorder="1" applyAlignment="1">
      <alignment horizontal="left" vertical="top" wrapText="1"/>
    </xf>
    <xf numFmtId="0" fontId="10" fillId="4" borderId="0" xfId="5" applyFont="1" applyFill="1" applyBorder="1" applyAlignment="1">
      <alignment horizontal="center"/>
    </xf>
    <xf numFmtId="0" fontId="29" fillId="5" borderId="0" xfId="0" applyFont="1" applyFill="1" applyAlignment="1">
      <alignment horizontal="center" vertical="center"/>
    </xf>
    <xf numFmtId="0" fontId="23" fillId="5" borderId="0" xfId="0" applyFont="1" applyFill="1" applyAlignment="1">
      <alignment horizontal="center" vertical="center"/>
    </xf>
    <xf numFmtId="0" fontId="27" fillId="0" borderId="14" xfId="0" applyFont="1" applyBorder="1" applyAlignment="1">
      <alignment horizontal="left" vertical="top" wrapText="1"/>
    </xf>
    <xf numFmtId="0" fontId="31" fillId="4" borderId="15" xfId="0" applyFont="1" applyFill="1" applyBorder="1" applyAlignment="1">
      <alignment horizontal="center" vertical="center"/>
    </xf>
    <xf numFmtId="0" fontId="31" fillId="4" borderId="15" xfId="0" applyFont="1" applyFill="1" applyBorder="1" applyAlignment="1">
      <alignment horizontal="center" vertical="center" wrapText="1"/>
    </xf>
    <xf numFmtId="0" fontId="9" fillId="4" borderId="0" xfId="1" applyFont="1" applyFill="1" applyBorder="1" applyAlignment="1">
      <alignment horizontal="left" vertical="center"/>
    </xf>
    <xf numFmtId="0" fontId="23" fillId="5" borderId="0" xfId="5" applyFont="1" applyFill="1" applyBorder="1" applyAlignment="1">
      <alignment horizontal="center" vertical="center"/>
    </xf>
    <xf numFmtId="0" fontId="18" fillId="0" borderId="0" xfId="6" applyFont="1" applyAlignment="1">
      <alignment horizontal="center"/>
    </xf>
    <xf numFmtId="0" fontId="20" fillId="7" borderId="0" xfId="0" applyFont="1" applyFill="1" applyAlignment="1">
      <alignment horizontal="center"/>
    </xf>
    <xf numFmtId="0" fontId="21" fillId="6" borderId="12" xfId="0" applyFont="1" applyFill="1" applyBorder="1" applyAlignment="1">
      <alignment horizontal="center"/>
    </xf>
    <xf numFmtId="0" fontId="21" fillId="6" borderId="0" xfId="0" applyFont="1" applyFill="1" applyAlignment="1">
      <alignment horizontal="center"/>
    </xf>
    <xf numFmtId="0" fontId="14" fillId="4" borderId="1" xfId="1" applyFont="1" applyFill="1" applyAlignment="1">
      <alignment horizontal="center" wrapText="1"/>
    </xf>
    <xf numFmtId="0" fontId="1" fillId="0" borderId="0" xfId="1" applyBorder="1" applyAlignment="1">
      <alignment horizontal="center"/>
    </xf>
    <xf numFmtId="0" fontId="2" fillId="0" borderId="0" xfId="1" applyFont="1" applyBorder="1" applyAlignment="1">
      <alignment horizontal="center"/>
    </xf>
    <xf numFmtId="0" fontId="1" fillId="0" borderId="1" xfId="1" applyAlignment="1">
      <alignment horizontal="center"/>
    </xf>
    <xf numFmtId="0" fontId="2" fillId="0" borderId="1" xfId="1" applyFont="1" applyAlignment="1">
      <alignment horizontal="center"/>
    </xf>
  </cellXfs>
  <cellStyles count="7">
    <cellStyle name="Accent1" xfId="5" builtinId="29"/>
    <cellStyle name="Currency" xfId="3" builtinId="4"/>
    <cellStyle name="Heading 1" xfId="1" builtinId="16"/>
    <cellStyle name="Hyperlink" xfId="2" builtinId="8"/>
    <cellStyle name="Normal" xfId="0" builtinId="0"/>
    <cellStyle name="Percent" xfId="4" builtinId="5"/>
    <cellStyle name="Title" xfId="6" builtinId="15"/>
  </cellStyles>
  <dxfs count="46">
    <dxf>
      <numFmt numFmtId="167" formatCode="_(&quot;$&quot;* #,##0_);_(&quot;$&quot;* \(#,##0\);_(&quot;$&quot;* &quot;-&quot;??_);_(@_)"/>
    </dxf>
    <dxf>
      <numFmt numFmtId="167" formatCode="_(&quot;$&quot;* #,##0_);_(&quot;$&quot;* \(#,##0\);_(&quot;$&quot;* &quot;-&quot;??_);_(@_)"/>
    </dxf>
    <dxf>
      <alignment horizontal="general" vertical="bottom" textRotation="0" wrapText="1" indent="0" justifyLastLine="0" shrinkToFit="0" readingOrder="0"/>
    </dxf>
    <dxf>
      <alignment horizontal="general" vertical="bottom" textRotation="0" wrapText="1" indent="0" justifyLastLine="0" shrinkToFit="0" readingOrder="0"/>
    </dxf>
    <dxf>
      <numFmt numFmtId="14" formatCode="0.00%"/>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3" formatCode="0%"/>
    </dxf>
    <dxf>
      <numFmt numFmtId="2" formatCode="0.00"/>
    </dxf>
    <dxf>
      <numFmt numFmtId="14" formatCode="0.00%"/>
    </dxf>
    <dxf>
      <numFmt numFmtId="2" formatCode="0.00"/>
    </dxf>
    <dxf>
      <numFmt numFmtId="2" formatCode="0.00"/>
    </dxf>
    <dxf>
      <numFmt numFmtId="164" formatCode="&quot;$&quot;#,##0.00"/>
    </dxf>
    <dxf>
      <numFmt numFmtId="2" formatCode="0.00"/>
    </dxf>
    <dxf>
      <numFmt numFmtId="0" formatCode="General"/>
    </dxf>
    <dxf>
      <alignment horizontal="general" vertical="center" textRotation="0" wrapText="0" indent="0" justifyLastLine="0" shrinkToFit="0" readingOrder="0"/>
    </dxf>
    <dxf>
      <alignment horizontal="left" vertical="center" textRotation="0" wrapText="0" indent="0" justifyLastLine="0" shrinkToFit="0" readingOrder="0"/>
    </dxf>
    <dxf>
      <font>
        <b/>
        <i val="0"/>
        <strike val="0"/>
        <condense val="0"/>
        <extend val="0"/>
        <outline val="0"/>
        <shadow val="0"/>
        <u val="none"/>
        <vertAlign val="baseline"/>
        <sz val="11"/>
        <color theme="1"/>
        <name val="Trebuchet MS"/>
        <family val="2"/>
        <scheme val="minor"/>
      </font>
    </dxf>
    <dxf>
      <numFmt numFmtId="13" formatCode="0%"/>
    </dxf>
    <dxf>
      <numFmt numFmtId="14" formatCode="0.00%"/>
    </dxf>
    <dxf>
      <numFmt numFmtId="13" formatCode="0%"/>
    </dxf>
    <dxf>
      <font>
        <strike val="0"/>
        <outline val="0"/>
        <shadow val="0"/>
        <u val="none"/>
        <vertAlign val="baseline"/>
        <sz val="12"/>
        <color theme="1"/>
        <name val="Trebuchet MS"/>
        <family val="2"/>
        <scheme val="minor"/>
      </font>
      <numFmt numFmtId="2" formatCode="0.00"/>
      <fill>
        <patternFill patternType="solid">
          <fgColor indexed="64"/>
          <bgColor theme="0"/>
        </patternFill>
      </fill>
    </dxf>
    <dxf>
      <font>
        <strike val="0"/>
        <outline val="0"/>
        <shadow val="0"/>
        <u val="none"/>
        <vertAlign val="baseline"/>
        <sz val="12"/>
        <color theme="1"/>
        <name val="Trebuchet MS"/>
        <family val="2"/>
        <scheme val="minor"/>
      </font>
      <numFmt numFmtId="1" formatCode="0"/>
      <fill>
        <patternFill patternType="solid">
          <fgColor indexed="64"/>
          <bgColor theme="0"/>
        </patternFill>
      </fill>
    </dxf>
    <dxf>
      <font>
        <strike val="0"/>
        <outline val="0"/>
        <shadow val="0"/>
        <u val="none"/>
        <vertAlign val="baseline"/>
        <sz val="12"/>
        <color theme="1"/>
        <name val="Trebuchet MS"/>
        <family val="2"/>
        <scheme val="minor"/>
      </font>
      <numFmt numFmtId="0" formatCode="General"/>
      <fill>
        <patternFill patternType="solid">
          <fgColor indexed="64"/>
          <bgColor theme="0"/>
        </patternFill>
      </fill>
    </dxf>
    <dxf>
      <font>
        <strike val="0"/>
        <outline val="0"/>
        <shadow val="0"/>
        <u val="none"/>
        <vertAlign val="baseline"/>
        <sz val="12"/>
        <color theme="1"/>
        <name val="Trebuchet MS"/>
        <family val="2"/>
        <scheme val="minor"/>
      </font>
      <numFmt numFmtId="0" formatCode="General"/>
      <fill>
        <patternFill patternType="solid">
          <fgColor indexed="64"/>
          <bgColor theme="0"/>
        </patternFill>
      </fill>
    </dxf>
    <dxf>
      <font>
        <strike val="0"/>
        <outline val="0"/>
        <shadow val="0"/>
        <u val="none"/>
        <vertAlign val="baseline"/>
        <sz val="12"/>
        <color theme="1"/>
        <name val="Trebuchet MS"/>
        <family val="2"/>
        <scheme val="minor"/>
      </font>
      <fill>
        <patternFill patternType="solid">
          <fgColor indexed="64"/>
          <bgColor theme="0"/>
        </patternFill>
      </fill>
    </dxf>
    <dxf>
      <font>
        <strike val="0"/>
        <outline val="0"/>
        <shadow val="0"/>
        <u val="none"/>
        <vertAlign val="baseline"/>
        <sz val="12"/>
        <color theme="2" tint="-0.89999084444715716"/>
        <name val="Trebuchet MS"/>
        <family val="2"/>
        <scheme val="minor"/>
      </font>
      <fill>
        <patternFill patternType="solid">
          <fgColor indexed="64"/>
          <bgColor theme="0"/>
        </patternFill>
      </fill>
      <alignment horizontal="center" vertical="center" textRotation="0" wrapText="0" indent="0" justifyLastLine="0" shrinkToFit="0" readingOrder="0"/>
    </dxf>
    <dxf>
      <font>
        <color rgb="FF9C0006"/>
      </font>
      <fill>
        <patternFill>
          <bgColor rgb="FFFFC7CE"/>
        </patternFill>
      </fill>
    </dxf>
    <dxf>
      <fill>
        <patternFill>
          <bgColor rgb="FFFFC000"/>
        </patternFill>
      </fill>
    </dxf>
    <dxf>
      <fill>
        <patternFill>
          <bgColor rgb="FFFFFF00"/>
        </patternFill>
      </fill>
    </dxf>
    <dxf>
      <fill>
        <patternFill>
          <bgColor theme="9" tint="0.39994506668294322"/>
        </patternFill>
      </fill>
    </dxf>
    <dxf>
      <fill>
        <patternFill>
          <bgColor theme="5" tint="0.39994506668294322"/>
        </patternFill>
      </fill>
    </dxf>
    <dxf>
      <fill>
        <patternFill>
          <bgColor rgb="FF92D050"/>
        </patternFill>
      </fill>
    </dxf>
    <dxf>
      <numFmt numFmtId="166" formatCode="0.0"/>
    </dxf>
    <dxf>
      <numFmt numFmtId="166" formatCode="0.0"/>
    </dxf>
    <dxf>
      <numFmt numFmtId="166" formatCode="0.0"/>
    </dxf>
    <dxf>
      <numFmt numFmtId="166" formatCode="0.0"/>
    </dxf>
    <dxf>
      <numFmt numFmtId="166" formatCode="0.0"/>
    </dxf>
    <dxf>
      <numFmt numFmtId="165" formatCode="m/d/yy;@"/>
    </dxf>
    <dxf>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openxmlformats.org/officeDocument/2006/relationships/pivotCacheDefinition" Target="pivotCache/pivotCacheDefinition8.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pivotCacheDefinition" Target="pivotCache/pivotCacheDefinition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 Relocation Dashboard.xlsm]Pivot!Cost</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Pivot!$B$3</c:f>
              <c:strCache>
                <c:ptCount val="1"/>
                <c:pt idx="0">
                  <c:v>Food</c:v>
                </c:pt>
              </c:strCache>
            </c:strRef>
          </c:tx>
          <c:spPr>
            <a:solidFill>
              <a:schemeClr val="accent1"/>
            </a:solidFill>
            <a:ln>
              <a:noFill/>
            </a:ln>
            <a:effectLst/>
          </c:spPr>
          <c:invertIfNegative val="0"/>
          <c:cat>
            <c:strRef>
              <c:f>Pivot!$A$4:$A$9</c:f>
              <c:strCache>
                <c:ptCount val="5"/>
                <c:pt idx="0">
                  <c:v>Hong Kong</c:v>
                </c:pt>
                <c:pt idx="1">
                  <c:v>Kazakhstan</c:v>
                </c:pt>
                <c:pt idx="2">
                  <c:v>Pakistan</c:v>
                </c:pt>
                <c:pt idx="3">
                  <c:v>United States</c:v>
                </c:pt>
                <c:pt idx="4">
                  <c:v>Vietnam</c:v>
                </c:pt>
              </c:strCache>
            </c:strRef>
          </c:cat>
          <c:val>
            <c:numRef>
              <c:f>Pivot!$B$4:$B$9</c:f>
              <c:numCache>
                <c:formatCode>General</c:formatCode>
                <c:ptCount val="5"/>
                <c:pt idx="0">
                  <c:v>151.61000000000001</c:v>
                </c:pt>
                <c:pt idx="1">
                  <c:v>70.569999999999993</c:v>
                </c:pt>
                <c:pt idx="2">
                  <c:v>70.19</c:v>
                </c:pt>
                <c:pt idx="3">
                  <c:v>123.83</c:v>
                </c:pt>
                <c:pt idx="4">
                  <c:v>73.290000000000006</c:v>
                </c:pt>
              </c:numCache>
            </c:numRef>
          </c:val>
          <c:extLst>
            <c:ext xmlns:c16="http://schemas.microsoft.com/office/drawing/2014/chart" uri="{C3380CC4-5D6E-409C-BE32-E72D297353CC}">
              <c16:uniqueId val="{00000000-3E1F-4BB0-BB2D-5A33F76E5776}"/>
            </c:ext>
          </c:extLst>
        </c:ser>
        <c:ser>
          <c:idx val="1"/>
          <c:order val="1"/>
          <c:tx>
            <c:strRef>
              <c:f>Pivot!$C$3</c:f>
              <c:strCache>
                <c:ptCount val="1"/>
                <c:pt idx="0">
                  <c:v>Healthcare</c:v>
                </c:pt>
              </c:strCache>
            </c:strRef>
          </c:tx>
          <c:spPr>
            <a:solidFill>
              <a:schemeClr val="accent2"/>
            </a:solidFill>
            <a:ln>
              <a:noFill/>
            </a:ln>
            <a:effectLst/>
          </c:spPr>
          <c:invertIfNegative val="0"/>
          <c:cat>
            <c:strRef>
              <c:f>Pivot!$A$4:$A$9</c:f>
              <c:strCache>
                <c:ptCount val="5"/>
                <c:pt idx="0">
                  <c:v>Hong Kong</c:v>
                </c:pt>
                <c:pt idx="1">
                  <c:v>Kazakhstan</c:v>
                </c:pt>
                <c:pt idx="2">
                  <c:v>Pakistan</c:v>
                </c:pt>
                <c:pt idx="3">
                  <c:v>United States</c:v>
                </c:pt>
                <c:pt idx="4">
                  <c:v>Vietnam</c:v>
                </c:pt>
              </c:strCache>
            </c:strRef>
          </c:cat>
          <c:val>
            <c:numRef>
              <c:f>Pivot!$C$4:$C$9</c:f>
              <c:numCache>
                <c:formatCode>General</c:formatCode>
                <c:ptCount val="5"/>
                <c:pt idx="0">
                  <c:v>138.09</c:v>
                </c:pt>
                <c:pt idx="1">
                  <c:v>30.55</c:v>
                </c:pt>
                <c:pt idx="2">
                  <c:v>31.72</c:v>
                </c:pt>
                <c:pt idx="3">
                  <c:v>179.52</c:v>
                </c:pt>
                <c:pt idx="4">
                  <c:v>31.42</c:v>
                </c:pt>
              </c:numCache>
            </c:numRef>
          </c:val>
          <c:extLst>
            <c:ext xmlns:c16="http://schemas.microsoft.com/office/drawing/2014/chart" uri="{C3380CC4-5D6E-409C-BE32-E72D297353CC}">
              <c16:uniqueId val="{00000001-3E1F-4BB0-BB2D-5A33F76E5776}"/>
            </c:ext>
          </c:extLst>
        </c:ser>
        <c:ser>
          <c:idx val="2"/>
          <c:order val="2"/>
          <c:tx>
            <c:strRef>
              <c:f>Pivot!$D$3</c:f>
              <c:strCache>
                <c:ptCount val="1"/>
                <c:pt idx="0">
                  <c:v>Education</c:v>
                </c:pt>
              </c:strCache>
            </c:strRef>
          </c:tx>
          <c:spPr>
            <a:solidFill>
              <a:schemeClr val="accent3"/>
            </a:solidFill>
            <a:ln>
              <a:noFill/>
            </a:ln>
            <a:effectLst/>
          </c:spPr>
          <c:invertIfNegative val="0"/>
          <c:cat>
            <c:strRef>
              <c:f>Pivot!$A$4:$A$9</c:f>
              <c:strCache>
                <c:ptCount val="5"/>
                <c:pt idx="0">
                  <c:v>Hong Kong</c:v>
                </c:pt>
                <c:pt idx="1">
                  <c:v>Kazakhstan</c:v>
                </c:pt>
                <c:pt idx="2">
                  <c:v>Pakistan</c:v>
                </c:pt>
                <c:pt idx="3">
                  <c:v>United States</c:v>
                </c:pt>
                <c:pt idx="4">
                  <c:v>Vietnam</c:v>
                </c:pt>
              </c:strCache>
            </c:strRef>
          </c:cat>
          <c:val>
            <c:numRef>
              <c:f>Pivot!$D$4:$D$9</c:f>
              <c:numCache>
                <c:formatCode>General</c:formatCode>
                <c:ptCount val="5"/>
                <c:pt idx="0">
                  <c:v>176.06</c:v>
                </c:pt>
                <c:pt idx="1">
                  <c:v>16.34</c:v>
                </c:pt>
                <c:pt idx="2">
                  <c:v>31.55</c:v>
                </c:pt>
                <c:pt idx="3">
                  <c:v>272.75</c:v>
                </c:pt>
                <c:pt idx="4">
                  <c:v>28.06</c:v>
                </c:pt>
              </c:numCache>
            </c:numRef>
          </c:val>
          <c:extLst>
            <c:ext xmlns:c16="http://schemas.microsoft.com/office/drawing/2014/chart" uri="{C3380CC4-5D6E-409C-BE32-E72D297353CC}">
              <c16:uniqueId val="{00000002-3E1F-4BB0-BB2D-5A33F76E5776}"/>
            </c:ext>
          </c:extLst>
        </c:ser>
        <c:dLbls>
          <c:showLegendKey val="0"/>
          <c:showVal val="0"/>
          <c:showCatName val="0"/>
          <c:showSerName val="0"/>
          <c:showPercent val="0"/>
          <c:showBubbleSize val="0"/>
        </c:dLbls>
        <c:gapWidth val="150"/>
        <c:overlap val="100"/>
        <c:axId val="820192008"/>
        <c:axId val="820195528"/>
      </c:barChart>
      <c:catAx>
        <c:axId val="820192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195528"/>
        <c:crosses val="autoZero"/>
        <c:auto val="1"/>
        <c:lblAlgn val="ctr"/>
        <c:lblOffset val="100"/>
        <c:noMultiLvlLbl val="0"/>
      </c:catAx>
      <c:valAx>
        <c:axId val="820195528"/>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192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 Relocation Dashboard.xlsm]Pivot!Quality</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w="25400">
            <a:noFill/>
          </a:ln>
          <a:effectLst/>
        </c:spPr>
      </c:pivotFmt>
      <c:pivotFmt>
        <c:idx val="10"/>
        <c:spPr>
          <a:solidFill>
            <a:schemeClr val="accent1"/>
          </a:solidFill>
          <a:ln w="25400">
            <a:noFill/>
          </a:ln>
          <a:effectLst/>
        </c:spPr>
      </c:pivotFmt>
      <c:pivotFmt>
        <c:idx val="11"/>
        <c:spPr>
          <a:solidFill>
            <a:schemeClr val="accent1"/>
          </a:solidFill>
          <a:ln w="25400">
            <a:noFill/>
          </a:ln>
          <a:effectLst/>
        </c:spPr>
      </c:pivotFmt>
      <c:pivotFmt>
        <c:idx val="12"/>
        <c:spPr>
          <a:solidFill>
            <a:schemeClr val="accent1"/>
          </a:solidFill>
          <a:ln w="25400">
            <a:noFill/>
          </a:ln>
          <a:effectLst/>
        </c:spPr>
      </c:pivotFmt>
      <c:pivotFmt>
        <c:idx val="13"/>
        <c:spPr>
          <a:solidFill>
            <a:schemeClr val="accent1"/>
          </a:solidFill>
          <a:ln w="25400">
            <a:noFill/>
          </a:ln>
          <a:effectLst/>
        </c:spPr>
      </c:pivotFmt>
    </c:pivotFmts>
    <c:plotArea>
      <c:layout/>
      <c:pieChart>
        <c:varyColors val="1"/>
        <c:ser>
          <c:idx val="0"/>
          <c:order val="0"/>
          <c:tx>
            <c:strRef>
              <c:f>Pivot!$B$12</c:f>
              <c:strCache>
                <c:ptCount val="1"/>
                <c:pt idx="0">
                  <c:v>Property/income</c:v>
                </c:pt>
              </c:strCache>
            </c:strRef>
          </c:tx>
          <c:dPt>
            <c:idx val="0"/>
            <c:bubble3D val="0"/>
            <c:spPr>
              <a:solidFill>
                <a:schemeClr val="accent1"/>
              </a:solidFill>
              <a:ln>
                <a:noFill/>
              </a:ln>
              <a:effectLst/>
            </c:spPr>
            <c:extLst>
              <c:ext xmlns:c16="http://schemas.microsoft.com/office/drawing/2014/chart" uri="{C3380CC4-5D6E-409C-BE32-E72D297353CC}">
                <c16:uniqueId val="{00000001-1D6C-4D92-B252-DEA57BF56B5A}"/>
              </c:ext>
            </c:extLst>
          </c:dPt>
          <c:dPt>
            <c:idx val="1"/>
            <c:bubble3D val="0"/>
            <c:spPr>
              <a:solidFill>
                <a:schemeClr val="accent3"/>
              </a:solidFill>
              <a:ln>
                <a:noFill/>
              </a:ln>
              <a:effectLst/>
            </c:spPr>
            <c:extLst>
              <c:ext xmlns:c16="http://schemas.microsoft.com/office/drawing/2014/chart" uri="{C3380CC4-5D6E-409C-BE32-E72D297353CC}">
                <c16:uniqueId val="{00000003-1D6C-4D92-B252-DEA57BF56B5A}"/>
              </c:ext>
            </c:extLst>
          </c:dPt>
          <c:dPt>
            <c:idx val="2"/>
            <c:bubble3D val="0"/>
            <c:spPr>
              <a:solidFill>
                <a:schemeClr val="accent5"/>
              </a:solidFill>
              <a:ln>
                <a:noFill/>
              </a:ln>
              <a:effectLst/>
            </c:spPr>
            <c:extLst>
              <c:ext xmlns:c16="http://schemas.microsoft.com/office/drawing/2014/chart" uri="{C3380CC4-5D6E-409C-BE32-E72D297353CC}">
                <c16:uniqueId val="{00000005-1D6C-4D92-B252-DEA57BF56B5A}"/>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07-1D6C-4D92-B252-DEA57BF56B5A}"/>
              </c:ext>
            </c:extLst>
          </c:dPt>
          <c:dPt>
            <c:idx val="4"/>
            <c:bubble3D val="0"/>
            <c:spPr>
              <a:solidFill>
                <a:schemeClr val="accent3">
                  <a:lumMod val="60000"/>
                </a:schemeClr>
              </a:solidFill>
              <a:ln>
                <a:noFill/>
              </a:ln>
              <a:effectLst/>
            </c:spPr>
            <c:extLst>
              <c:ext xmlns:c16="http://schemas.microsoft.com/office/drawing/2014/chart" uri="{C3380CC4-5D6E-409C-BE32-E72D297353CC}">
                <c16:uniqueId val="{00000009-1D6C-4D92-B252-DEA57BF56B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Pivot!$A$13:$A$18</c:f>
              <c:strCache>
                <c:ptCount val="5"/>
                <c:pt idx="0">
                  <c:v>Hong Kong</c:v>
                </c:pt>
                <c:pt idx="1">
                  <c:v>Kazakhstan</c:v>
                </c:pt>
                <c:pt idx="2">
                  <c:v>Pakistan</c:v>
                </c:pt>
                <c:pt idx="3">
                  <c:v>United States</c:v>
                </c:pt>
                <c:pt idx="4">
                  <c:v>Vietnam</c:v>
                </c:pt>
              </c:strCache>
            </c:strRef>
          </c:cat>
          <c:val>
            <c:numRef>
              <c:f>Pivot!$B$13:$B$18</c:f>
              <c:numCache>
                <c:formatCode>0.00%</c:formatCode>
                <c:ptCount val="5"/>
                <c:pt idx="0">
                  <c:v>0.42299999999999999</c:v>
                </c:pt>
                <c:pt idx="1">
                  <c:v>0.109</c:v>
                </c:pt>
                <c:pt idx="2">
                  <c:v>0.14000000000000001</c:v>
                </c:pt>
                <c:pt idx="3">
                  <c:v>4.2000000000000003E-2</c:v>
                </c:pt>
                <c:pt idx="4">
                  <c:v>0.29299999999999998</c:v>
                </c:pt>
              </c:numCache>
            </c:numRef>
          </c:val>
          <c:extLst>
            <c:ext xmlns:c16="http://schemas.microsoft.com/office/drawing/2014/chart" uri="{C3380CC4-5D6E-409C-BE32-E72D297353CC}">
              <c16:uniqueId val="{00000000-E914-42E8-AA23-65AC33A2BEF7}"/>
            </c:ext>
          </c:extLst>
        </c:ser>
        <c:ser>
          <c:idx val="1"/>
          <c:order val="1"/>
          <c:tx>
            <c:strRef>
              <c:f>Pivot!$C$12</c:f>
              <c:strCache>
                <c:ptCount val="1"/>
                <c:pt idx="0">
                  <c:v>GDP per capita</c:v>
                </c:pt>
              </c:strCache>
            </c:strRef>
          </c:tx>
          <c:spPr>
            <a:ln w="25400"/>
          </c:spPr>
          <c:dPt>
            <c:idx val="0"/>
            <c:bubble3D val="0"/>
            <c:spPr>
              <a:solidFill>
                <a:schemeClr val="accent1"/>
              </a:solidFill>
              <a:ln w="25400">
                <a:noFill/>
              </a:ln>
              <a:effectLst/>
            </c:spPr>
            <c:extLst>
              <c:ext xmlns:c16="http://schemas.microsoft.com/office/drawing/2014/chart" uri="{C3380CC4-5D6E-409C-BE32-E72D297353CC}">
                <c16:uniqueId val="{0000000B-1D6C-4D92-B252-DEA57BF56B5A}"/>
              </c:ext>
            </c:extLst>
          </c:dPt>
          <c:dPt>
            <c:idx val="1"/>
            <c:bubble3D val="0"/>
            <c:spPr>
              <a:solidFill>
                <a:schemeClr val="accent3"/>
              </a:solidFill>
              <a:ln w="25400">
                <a:noFill/>
              </a:ln>
              <a:effectLst/>
            </c:spPr>
            <c:extLst>
              <c:ext xmlns:c16="http://schemas.microsoft.com/office/drawing/2014/chart" uri="{C3380CC4-5D6E-409C-BE32-E72D297353CC}">
                <c16:uniqueId val="{0000000D-1D6C-4D92-B252-DEA57BF56B5A}"/>
              </c:ext>
            </c:extLst>
          </c:dPt>
          <c:dPt>
            <c:idx val="2"/>
            <c:bubble3D val="0"/>
            <c:spPr>
              <a:solidFill>
                <a:schemeClr val="accent5"/>
              </a:solidFill>
              <a:ln w="25400">
                <a:noFill/>
              </a:ln>
              <a:effectLst/>
            </c:spPr>
            <c:extLst>
              <c:ext xmlns:c16="http://schemas.microsoft.com/office/drawing/2014/chart" uri="{C3380CC4-5D6E-409C-BE32-E72D297353CC}">
                <c16:uniqueId val="{0000000F-1D6C-4D92-B252-DEA57BF56B5A}"/>
              </c:ext>
            </c:extLst>
          </c:dPt>
          <c:dPt>
            <c:idx val="3"/>
            <c:bubble3D val="0"/>
            <c:spPr>
              <a:solidFill>
                <a:schemeClr val="accent1">
                  <a:lumMod val="60000"/>
                </a:schemeClr>
              </a:solidFill>
              <a:ln w="25400">
                <a:noFill/>
              </a:ln>
              <a:effectLst/>
            </c:spPr>
            <c:extLst>
              <c:ext xmlns:c16="http://schemas.microsoft.com/office/drawing/2014/chart" uri="{C3380CC4-5D6E-409C-BE32-E72D297353CC}">
                <c16:uniqueId val="{00000011-1D6C-4D92-B252-DEA57BF56B5A}"/>
              </c:ext>
            </c:extLst>
          </c:dPt>
          <c:dPt>
            <c:idx val="4"/>
            <c:bubble3D val="0"/>
            <c:spPr>
              <a:solidFill>
                <a:schemeClr val="accent3">
                  <a:lumMod val="60000"/>
                </a:schemeClr>
              </a:solidFill>
              <a:ln w="25400">
                <a:noFill/>
              </a:ln>
              <a:effectLst/>
            </c:spPr>
            <c:extLst>
              <c:ext xmlns:c16="http://schemas.microsoft.com/office/drawing/2014/chart" uri="{C3380CC4-5D6E-409C-BE32-E72D297353CC}">
                <c16:uniqueId val="{00000013-1D6C-4D92-B252-DEA57BF56B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Pivot!$A$13:$A$18</c:f>
              <c:strCache>
                <c:ptCount val="5"/>
                <c:pt idx="0">
                  <c:v>Hong Kong</c:v>
                </c:pt>
                <c:pt idx="1">
                  <c:v>Kazakhstan</c:v>
                </c:pt>
                <c:pt idx="2">
                  <c:v>Pakistan</c:v>
                </c:pt>
                <c:pt idx="3">
                  <c:v>United States</c:v>
                </c:pt>
                <c:pt idx="4">
                  <c:v>Vietnam</c:v>
                </c:pt>
              </c:strCache>
            </c:strRef>
          </c:cat>
          <c:val>
            <c:numRef>
              <c:f>Pivot!$C$13:$C$18</c:f>
              <c:numCache>
                <c:formatCode>General</c:formatCode>
                <c:ptCount val="5"/>
                <c:pt idx="0">
                  <c:v>48984</c:v>
                </c:pt>
                <c:pt idx="1">
                  <c:v>11421</c:v>
                </c:pt>
                <c:pt idx="2">
                  <c:v>1597</c:v>
                </c:pt>
                <c:pt idx="3">
                  <c:v>80410</c:v>
                </c:pt>
                <c:pt idx="4">
                  <c:v>4320</c:v>
                </c:pt>
              </c:numCache>
            </c:numRef>
          </c:val>
          <c:extLst>
            <c:ext xmlns:c16="http://schemas.microsoft.com/office/drawing/2014/chart" uri="{C3380CC4-5D6E-409C-BE32-E72D297353CC}">
              <c16:uniqueId val="{00000001-E914-42E8-AA23-65AC33A2BEF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[Global Relocation Dashboard.xlsm]Pivot!Business</c:name>
    <c:fmtId val="2"/>
  </c:pivotSource>
  <c:chart>
    <c:autoTitleDeleted val="1"/>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C9A7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dk1">
              <a:tint val="88500"/>
            </a:scheme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Pivot!$B$21</c:f>
              <c:strCache>
                <c:ptCount val="1"/>
                <c:pt idx="0">
                  <c:v>Total</c:v>
                </c:pt>
              </c:strCache>
            </c:strRef>
          </c:tx>
          <c:spPr>
            <a:solidFill>
              <a:srgbClr val="0C9A7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Pivot!$A$22:$A$27</c:f>
              <c:strCache>
                <c:ptCount val="5"/>
                <c:pt idx="0">
                  <c:v>Hong Kong</c:v>
                </c:pt>
                <c:pt idx="1">
                  <c:v>Kazakhstan</c:v>
                </c:pt>
                <c:pt idx="2">
                  <c:v>Pakistan</c:v>
                </c:pt>
                <c:pt idx="3">
                  <c:v>United States</c:v>
                </c:pt>
                <c:pt idx="4">
                  <c:v>Vietnam</c:v>
                </c:pt>
              </c:strCache>
            </c:strRef>
          </c:cat>
          <c:val>
            <c:numRef>
              <c:f>Pivot!$B$22:$B$27</c:f>
              <c:numCache>
                <c:formatCode>General</c:formatCode>
                <c:ptCount val="5"/>
                <c:pt idx="0">
                  <c:v>97.4</c:v>
                </c:pt>
                <c:pt idx="1">
                  <c:v>86.9</c:v>
                </c:pt>
                <c:pt idx="2">
                  <c:v>53.1</c:v>
                </c:pt>
                <c:pt idx="3">
                  <c:v>95.2</c:v>
                </c:pt>
                <c:pt idx="4">
                  <c:v>69.099999999999994</c:v>
                </c:pt>
              </c:numCache>
            </c:numRef>
          </c:val>
          <c:extLst>
            <c:ext xmlns:c16="http://schemas.microsoft.com/office/drawing/2014/chart" uri="{C3380CC4-5D6E-409C-BE32-E72D297353CC}">
              <c16:uniqueId val="{00000000-2ABE-407E-8526-4BA92BA62A9B}"/>
            </c:ext>
          </c:extLst>
        </c:ser>
        <c:dLbls>
          <c:dLblPos val="outEnd"/>
          <c:showLegendKey val="0"/>
          <c:showVal val="1"/>
          <c:showCatName val="0"/>
          <c:showSerName val="0"/>
          <c:showPercent val="0"/>
          <c:showBubbleSize val="0"/>
        </c:dLbls>
        <c:gapWidth val="219"/>
        <c:axId val="821024312"/>
        <c:axId val="821026072"/>
      </c:barChart>
      <c:catAx>
        <c:axId val="821024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026072"/>
        <c:crosses val="autoZero"/>
        <c:auto val="1"/>
        <c:lblAlgn val="ctr"/>
        <c:lblOffset val="100"/>
        <c:noMultiLvlLbl val="0"/>
      </c:catAx>
      <c:valAx>
        <c:axId val="8210260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024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[Global Relocation Dashboard.xlsm]Pivot!Internet</c:name>
    <c:fmtId val="1"/>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Pivot!$B$30</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Pivot!$A$31:$A$36</c:f>
              <c:strCache>
                <c:ptCount val="5"/>
                <c:pt idx="0">
                  <c:v>Hong Kong</c:v>
                </c:pt>
                <c:pt idx="1">
                  <c:v>Kazakhstan</c:v>
                </c:pt>
                <c:pt idx="2">
                  <c:v>Pakistan</c:v>
                </c:pt>
                <c:pt idx="3">
                  <c:v>United States</c:v>
                </c:pt>
                <c:pt idx="4">
                  <c:v>Vietnam</c:v>
                </c:pt>
              </c:strCache>
            </c:strRef>
          </c:cat>
          <c:val>
            <c:numRef>
              <c:f>Pivot!$B$31:$B$36</c:f>
              <c:numCache>
                <c:formatCode>General</c:formatCode>
                <c:ptCount val="5"/>
                <c:pt idx="0">
                  <c:v>254.7</c:v>
                </c:pt>
                <c:pt idx="1">
                  <c:v>63.28</c:v>
                </c:pt>
                <c:pt idx="2">
                  <c:v>13.84</c:v>
                </c:pt>
                <c:pt idx="3">
                  <c:v>203.81</c:v>
                </c:pt>
                <c:pt idx="4">
                  <c:v>78.34</c:v>
                </c:pt>
              </c:numCache>
            </c:numRef>
          </c:val>
          <c:smooth val="0"/>
          <c:extLst>
            <c:ext xmlns:c16="http://schemas.microsoft.com/office/drawing/2014/chart" uri="{C3380CC4-5D6E-409C-BE32-E72D297353CC}">
              <c16:uniqueId val="{00000000-6AC9-411F-9DAE-FFEFC7B0194B}"/>
            </c:ext>
          </c:extLst>
        </c:ser>
        <c:dLbls>
          <c:showLegendKey val="0"/>
          <c:showVal val="1"/>
          <c:showCatName val="0"/>
          <c:showSerName val="0"/>
          <c:showPercent val="0"/>
          <c:showBubbleSize val="0"/>
        </c:dLbls>
        <c:marker val="1"/>
        <c:smooth val="0"/>
        <c:axId val="621988568"/>
        <c:axId val="621986808"/>
      </c:lineChart>
      <c:catAx>
        <c:axId val="621988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986808"/>
        <c:crosses val="autoZero"/>
        <c:auto val="1"/>
        <c:lblAlgn val="ctr"/>
        <c:lblOffset val="100"/>
        <c:noMultiLvlLbl val="0"/>
      </c:catAx>
      <c:valAx>
        <c:axId val="6219868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988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 Relocation Dashboard.xlsm]Pivot!Healthcare</c:name>
    <c:fmtId val="1"/>
  </c:pivotSource>
  <c:chart>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Pivot!$B$39</c:f>
              <c:strCache>
                <c:ptCount val="1"/>
                <c:pt idx="0">
                  <c:v>Healthcare Quality</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Pivot!$A$40:$A$45</c:f>
              <c:strCache>
                <c:ptCount val="5"/>
                <c:pt idx="0">
                  <c:v>Hong Kong</c:v>
                </c:pt>
                <c:pt idx="1">
                  <c:v>Kazakhstan</c:v>
                </c:pt>
                <c:pt idx="2">
                  <c:v>Pakistan</c:v>
                </c:pt>
                <c:pt idx="3">
                  <c:v>United States</c:v>
                </c:pt>
                <c:pt idx="4">
                  <c:v>Vietnam</c:v>
                </c:pt>
              </c:strCache>
            </c:strRef>
          </c:cat>
          <c:val>
            <c:numRef>
              <c:f>Pivot!$B$40:$B$45</c:f>
              <c:numCache>
                <c:formatCode>General</c:formatCode>
                <c:ptCount val="5"/>
                <c:pt idx="0">
                  <c:v>74.2</c:v>
                </c:pt>
                <c:pt idx="1">
                  <c:v>61.1</c:v>
                </c:pt>
                <c:pt idx="2">
                  <c:v>43.1</c:v>
                </c:pt>
                <c:pt idx="3">
                  <c:v>81.3</c:v>
                </c:pt>
                <c:pt idx="4">
                  <c:v>66.3</c:v>
                </c:pt>
              </c:numCache>
            </c:numRef>
          </c:val>
          <c:extLst>
            <c:ext xmlns:c16="http://schemas.microsoft.com/office/drawing/2014/chart" uri="{C3380CC4-5D6E-409C-BE32-E72D297353CC}">
              <c16:uniqueId val="{00000000-784D-4594-BFD8-DE9B80F81460}"/>
            </c:ext>
          </c:extLst>
        </c:ser>
        <c:dLbls>
          <c:dLblPos val="inBase"/>
          <c:showLegendKey val="0"/>
          <c:showVal val="1"/>
          <c:showCatName val="0"/>
          <c:showSerName val="0"/>
          <c:showPercent val="0"/>
          <c:showBubbleSize val="0"/>
        </c:dLbls>
        <c:gapWidth val="219"/>
        <c:axId val="934624264"/>
        <c:axId val="934622152"/>
      </c:barChart>
      <c:lineChart>
        <c:grouping val="standard"/>
        <c:varyColors val="0"/>
        <c:ser>
          <c:idx val="1"/>
          <c:order val="1"/>
          <c:tx>
            <c:strRef>
              <c:f>Pivot!$C$39</c:f>
              <c:strCache>
                <c:ptCount val="1"/>
                <c:pt idx="0">
                  <c:v>Health Insurance Coverage</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Pivot!$A$40:$A$45</c:f>
              <c:strCache>
                <c:ptCount val="5"/>
                <c:pt idx="0">
                  <c:v>Hong Kong</c:v>
                </c:pt>
                <c:pt idx="1">
                  <c:v>Kazakhstan</c:v>
                </c:pt>
                <c:pt idx="2">
                  <c:v>Pakistan</c:v>
                </c:pt>
                <c:pt idx="3">
                  <c:v>United States</c:v>
                </c:pt>
                <c:pt idx="4">
                  <c:v>Vietnam</c:v>
                </c:pt>
              </c:strCache>
            </c:strRef>
          </c:cat>
          <c:val>
            <c:numRef>
              <c:f>Pivot!$C$40:$C$45</c:f>
              <c:numCache>
                <c:formatCode>0%</c:formatCode>
                <c:ptCount val="5"/>
                <c:pt idx="0">
                  <c:v>0.92</c:v>
                </c:pt>
                <c:pt idx="1">
                  <c:v>0.86</c:v>
                </c:pt>
                <c:pt idx="2">
                  <c:v>0.63</c:v>
                </c:pt>
                <c:pt idx="3">
                  <c:v>0.89</c:v>
                </c:pt>
                <c:pt idx="4">
                  <c:v>0.8</c:v>
                </c:pt>
              </c:numCache>
            </c:numRef>
          </c:val>
          <c:smooth val="0"/>
          <c:extLst>
            <c:ext xmlns:c16="http://schemas.microsoft.com/office/drawing/2014/chart" uri="{C3380CC4-5D6E-409C-BE32-E72D297353CC}">
              <c16:uniqueId val="{00000001-784D-4594-BFD8-DE9B80F81460}"/>
            </c:ext>
          </c:extLst>
        </c:ser>
        <c:dLbls>
          <c:showLegendKey val="0"/>
          <c:showVal val="1"/>
          <c:showCatName val="0"/>
          <c:showSerName val="0"/>
          <c:showPercent val="0"/>
          <c:showBubbleSize val="0"/>
        </c:dLbls>
        <c:marker val="1"/>
        <c:smooth val="0"/>
        <c:axId val="1247427112"/>
        <c:axId val="1247419016"/>
      </c:lineChart>
      <c:catAx>
        <c:axId val="934624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622152"/>
        <c:crosses val="autoZero"/>
        <c:auto val="1"/>
        <c:lblAlgn val="ctr"/>
        <c:lblOffset val="100"/>
        <c:noMultiLvlLbl val="0"/>
      </c:catAx>
      <c:valAx>
        <c:axId val="9346221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4624264"/>
        <c:crosses val="autoZero"/>
        <c:crossBetween val="between"/>
      </c:valAx>
      <c:valAx>
        <c:axId val="124741901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427112"/>
        <c:crosses val="max"/>
        <c:crossBetween val="between"/>
      </c:valAx>
      <c:catAx>
        <c:axId val="1247427112"/>
        <c:scaling>
          <c:orientation val="minMax"/>
        </c:scaling>
        <c:delete val="1"/>
        <c:axPos val="b"/>
        <c:numFmt formatCode="General" sourceLinked="1"/>
        <c:majorTickMark val="out"/>
        <c:minorTickMark val="none"/>
        <c:tickLblPos val="nextTo"/>
        <c:crossAx val="124741901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[Global Relocation Dashboard.xlsm]Pivot!PivotTable1</c:name>
    <c:fmtId val="1"/>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hade val="53000"/>
            </a:schemeClr>
          </a:solidFill>
          <a:ln>
            <a:noFill/>
          </a:ln>
          <a:effectLst/>
        </c:spPr>
      </c:pivotFmt>
      <c:pivotFmt>
        <c:idx val="3"/>
        <c:spPr>
          <a:solidFill>
            <a:schemeClr val="accent2">
              <a:shade val="76000"/>
            </a:schemeClr>
          </a:solidFill>
          <a:ln>
            <a:noFill/>
          </a:ln>
          <a:effectLst/>
        </c:spPr>
      </c:pivotFmt>
      <c:pivotFmt>
        <c:idx val="4"/>
        <c:spPr>
          <a:solidFill>
            <a:schemeClr val="accent2"/>
          </a:solidFill>
          <a:ln>
            <a:noFill/>
          </a:ln>
          <a:effectLst/>
        </c:spPr>
      </c:pivotFmt>
      <c:pivotFmt>
        <c:idx val="5"/>
        <c:spPr>
          <a:solidFill>
            <a:schemeClr val="accent2">
              <a:tint val="77000"/>
            </a:schemeClr>
          </a:solidFill>
          <a:ln>
            <a:noFill/>
          </a:ln>
          <a:effectLst/>
        </c:spPr>
      </c:pivotFmt>
      <c:pivotFmt>
        <c:idx val="6"/>
        <c:spPr>
          <a:solidFill>
            <a:schemeClr val="accent2">
              <a:tint val="54000"/>
            </a:schemeClr>
          </a:solidFill>
          <a:ln>
            <a:noFill/>
          </a:ln>
          <a:effectLst/>
        </c:spPr>
      </c:pivotFmt>
    </c:pivotFmts>
    <c:plotArea>
      <c:layout/>
      <c:doughnutChart>
        <c:varyColors val="1"/>
        <c:ser>
          <c:idx val="0"/>
          <c:order val="0"/>
          <c:tx>
            <c:strRef>
              <c:f>Pivot!$B$57</c:f>
              <c:strCache>
                <c:ptCount val="1"/>
                <c:pt idx="0">
                  <c:v>Total</c:v>
                </c:pt>
              </c:strCache>
            </c:strRef>
          </c:tx>
          <c:dPt>
            <c:idx val="0"/>
            <c:bubble3D val="0"/>
            <c:spPr>
              <a:solidFill>
                <a:schemeClr val="accent2">
                  <a:shade val="53000"/>
                </a:schemeClr>
              </a:solidFill>
              <a:ln>
                <a:noFill/>
              </a:ln>
              <a:effectLst/>
            </c:spPr>
            <c:extLst>
              <c:ext xmlns:c16="http://schemas.microsoft.com/office/drawing/2014/chart" uri="{C3380CC4-5D6E-409C-BE32-E72D297353CC}">
                <c16:uniqueId val="{00000001-B6E9-4E02-BFFE-0F3C4113D908}"/>
              </c:ext>
            </c:extLst>
          </c:dPt>
          <c:dPt>
            <c:idx val="1"/>
            <c:bubble3D val="0"/>
            <c:spPr>
              <a:solidFill>
                <a:schemeClr val="accent2">
                  <a:shade val="76000"/>
                </a:schemeClr>
              </a:solidFill>
              <a:ln>
                <a:noFill/>
              </a:ln>
              <a:effectLst/>
            </c:spPr>
            <c:extLst>
              <c:ext xmlns:c16="http://schemas.microsoft.com/office/drawing/2014/chart" uri="{C3380CC4-5D6E-409C-BE32-E72D297353CC}">
                <c16:uniqueId val="{00000003-B6E9-4E02-BFFE-0F3C4113D908}"/>
              </c:ext>
            </c:extLst>
          </c:dPt>
          <c:dPt>
            <c:idx val="2"/>
            <c:bubble3D val="0"/>
            <c:spPr>
              <a:solidFill>
                <a:schemeClr val="accent2"/>
              </a:solidFill>
              <a:ln>
                <a:noFill/>
              </a:ln>
              <a:effectLst/>
            </c:spPr>
            <c:extLst>
              <c:ext xmlns:c16="http://schemas.microsoft.com/office/drawing/2014/chart" uri="{C3380CC4-5D6E-409C-BE32-E72D297353CC}">
                <c16:uniqueId val="{00000005-B6E9-4E02-BFFE-0F3C4113D908}"/>
              </c:ext>
            </c:extLst>
          </c:dPt>
          <c:dPt>
            <c:idx val="3"/>
            <c:bubble3D val="0"/>
            <c:spPr>
              <a:solidFill>
                <a:schemeClr val="accent2">
                  <a:tint val="77000"/>
                </a:schemeClr>
              </a:solidFill>
              <a:ln>
                <a:noFill/>
              </a:ln>
              <a:effectLst/>
            </c:spPr>
            <c:extLst>
              <c:ext xmlns:c16="http://schemas.microsoft.com/office/drawing/2014/chart" uri="{C3380CC4-5D6E-409C-BE32-E72D297353CC}">
                <c16:uniqueId val="{00000007-B6E9-4E02-BFFE-0F3C4113D908}"/>
              </c:ext>
            </c:extLst>
          </c:dPt>
          <c:dPt>
            <c:idx val="4"/>
            <c:bubble3D val="0"/>
            <c:spPr>
              <a:solidFill>
                <a:schemeClr val="accent2">
                  <a:tint val="54000"/>
                </a:schemeClr>
              </a:solidFill>
              <a:ln>
                <a:noFill/>
              </a:ln>
              <a:effectLst/>
            </c:spPr>
            <c:extLst>
              <c:ext xmlns:c16="http://schemas.microsoft.com/office/drawing/2014/chart" uri="{C3380CC4-5D6E-409C-BE32-E72D297353CC}">
                <c16:uniqueId val="{00000009-B6E9-4E02-BFFE-0F3C4113D90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Pivot!$A$58:$A$63</c:f>
              <c:strCache>
                <c:ptCount val="5"/>
                <c:pt idx="0">
                  <c:v>Hong Kong</c:v>
                </c:pt>
                <c:pt idx="1">
                  <c:v>Kazakhstan</c:v>
                </c:pt>
                <c:pt idx="2">
                  <c:v>Pakistan</c:v>
                </c:pt>
                <c:pt idx="3">
                  <c:v>United States</c:v>
                </c:pt>
                <c:pt idx="4">
                  <c:v>Vietnam</c:v>
                </c:pt>
              </c:strCache>
            </c:strRef>
          </c:cat>
          <c:val>
            <c:numRef>
              <c:f>Pivot!$B$58:$B$63</c:f>
              <c:numCache>
                <c:formatCode>0%</c:formatCode>
                <c:ptCount val="5"/>
                <c:pt idx="0">
                  <c:v>0.16500000000000001</c:v>
                </c:pt>
                <c:pt idx="1">
                  <c:v>0.2</c:v>
                </c:pt>
                <c:pt idx="2">
                  <c:v>0.28999999999999998</c:v>
                </c:pt>
                <c:pt idx="3">
                  <c:v>0.2581</c:v>
                </c:pt>
                <c:pt idx="4">
                  <c:v>0.2</c:v>
                </c:pt>
              </c:numCache>
            </c:numRef>
          </c:val>
          <c:extLst>
            <c:ext xmlns:c16="http://schemas.microsoft.com/office/drawing/2014/chart" uri="{C3380CC4-5D6E-409C-BE32-E72D297353CC}">
              <c16:uniqueId val="{00000000-3A39-49F0-A86A-62CA49AE6999}"/>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[Global Relocation Dashboard.xlsm]Pivot!PPP</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PPP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Pivot!$B$48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Pivot!$A$49:$A$54</c:f>
              <c:strCache>
                <c:ptCount val="5"/>
                <c:pt idx="0">
                  <c:v>Hong Kong SAR, China</c:v>
                </c:pt>
                <c:pt idx="1">
                  <c:v>Kazakhstan</c:v>
                </c:pt>
                <c:pt idx="2">
                  <c:v>Pakistan</c:v>
                </c:pt>
                <c:pt idx="3">
                  <c:v>United States</c:v>
                </c:pt>
                <c:pt idx="4">
                  <c:v>Vietnam</c:v>
                </c:pt>
              </c:strCache>
            </c:strRef>
          </c:cat>
          <c:val>
            <c:numRef>
              <c:f>Pivot!$B$49:$B$54</c:f>
              <c:numCache>
                <c:formatCode>0.00</c:formatCode>
                <c:ptCount val="5"/>
                <c:pt idx="0">
                  <c:v>6.1078173582400002</c:v>
                </c:pt>
                <c:pt idx="1">
                  <c:v>136.48349998699999</c:v>
                </c:pt>
                <c:pt idx="2">
                  <c:v>35.797677035900001</c:v>
                </c:pt>
                <c:pt idx="3">
                  <c:v>1</c:v>
                </c:pt>
                <c:pt idx="4">
                  <c:v>7453.5681888199997</c:v>
                </c:pt>
              </c:numCache>
            </c:numRef>
          </c:val>
          <c:extLst>
            <c:ext xmlns:c16="http://schemas.microsoft.com/office/drawing/2014/chart" uri="{C3380CC4-5D6E-409C-BE32-E72D297353CC}">
              <c16:uniqueId val="{00000000-F6AD-4F59-B85F-E8C710256EFD}"/>
            </c:ext>
          </c:extLst>
        </c:ser>
        <c:dLbls>
          <c:dLblPos val="outEnd"/>
          <c:showLegendKey val="0"/>
          <c:showVal val="1"/>
          <c:showCatName val="0"/>
          <c:showSerName val="0"/>
          <c:showPercent val="0"/>
          <c:showBubbleSize val="0"/>
        </c:dLbls>
        <c:gapWidth val="219"/>
        <c:overlap val="-27"/>
        <c:axId val="525814760"/>
        <c:axId val="525822856"/>
      </c:barChart>
      <c:catAx>
        <c:axId val="525814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22856"/>
        <c:crosses val="autoZero"/>
        <c:auto val="1"/>
        <c:lblAlgn val="ctr"/>
        <c:lblOffset val="100"/>
        <c:noMultiLvlLbl val="0"/>
      </c:catAx>
      <c:valAx>
        <c:axId val="525822856"/>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814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7</xdr:row>
      <xdr:rowOff>0</xdr:rowOff>
    </xdr:from>
    <xdr:to>
      <xdr:col>9</xdr:col>
      <xdr:colOff>0</xdr:colOff>
      <xdr:row>19</xdr:row>
      <xdr:rowOff>0</xdr:rowOff>
    </xdr:to>
    <xdr:graphicFrame macro="">
      <xdr:nvGraphicFramePr>
        <xdr:cNvPr id="3" name="Chart 1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7</xdr:row>
      <xdr:rowOff>0</xdr:rowOff>
    </xdr:from>
    <xdr:to>
      <xdr:col>16</xdr:col>
      <xdr:colOff>0</xdr:colOff>
      <xdr:row>19</xdr:row>
      <xdr:rowOff>0</xdr:rowOff>
    </xdr:to>
    <xdr:graphicFrame macro="">
      <xdr:nvGraphicFramePr>
        <xdr:cNvPr id="4" name="Chart 15">
          <a:extLst>
            <a:ext uri="{FF2B5EF4-FFF2-40B4-BE49-F238E27FC236}">
              <a16:creationId xmlns:a16="http://schemas.microsoft.com/office/drawing/2014/main" id="{00000000-0008-0000-0200-000004000000}"/>
            </a:ext>
            <a:ext uri="{147F2762-F138-4A5C-976F-8EAC2B608ADB}">
              <a16:predDERef xmlns:a16="http://schemas.microsoft.com/office/drawing/2014/main" pre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7</xdr:row>
      <xdr:rowOff>0</xdr:rowOff>
    </xdr:from>
    <xdr:to>
      <xdr:col>24</xdr:col>
      <xdr:colOff>0</xdr:colOff>
      <xdr:row>19</xdr:row>
      <xdr:rowOff>0</xdr:rowOff>
    </xdr:to>
    <xdr:graphicFrame macro="">
      <xdr:nvGraphicFramePr>
        <xdr:cNvPr id="5" name="Chart 16">
          <a:extLst>
            <a:ext uri="{FF2B5EF4-FFF2-40B4-BE49-F238E27FC236}">
              <a16:creationId xmlns:a16="http://schemas.microsoft.com/office/drawing/2014/main" id="{00000000-0008-0000-0200-000005000000}"/>
            </a:ext>
            <a:ext uri="{147F2762-F138-4A5C-976F-8EAC2B608ADB}">
              <a16:predDERef xmlns:a16="http://schemas.microsoft.com/office/drawing/2014/main" pre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20</xdr:row>
      <xdr:rowOff>0</xdr:rowOff>
    </xdr:from>
    <xdr:to>
      <xdr:col>9</xdr:col>
      <xdr:colOff>0</xdr:colOff>
      <xdr:row>31</xdr:row>
      <xdr:rowOff>9525</xdr:rowOff>
    </xdr:to>
    <xdr:graphicFrame macro="">
      <xdr:nvGraphicFramePr>
        <xdr:cNvPr id="6" name="Chart 17">
          <a:extLst>
            <a:ext uri="{FF2B5EF4-FFF2-40B4-BE49-F238E27FC236}">
              <a16:creationId xmlns:a16="http://schemas.microsoft.com/office/drawing/2014/main" id="{00000000-0008-0000-0200-000006000000}"/>
            </a:ext>
            <a:ext uri="{147F2762-F138-4A5C-976F-8EAC2B608ADB}">
              <a16:predDERef xmlns:a16="http://schemas.microsoft.com/office/drawing/2014/main" pre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9525</xdr:colOff>
      <xdr:row>20</xdr:row>
      <xdr:rowOff>0</xdr:rowOff>
    </xdr:from>
    <xdr:to>
      <xdr:col>16</xdr:col>
      <xdr:colOff>0</xdr:colOff>
      <xdr:row>31</xdr:row>
      <xdr:rowOff>28575</xdr:rowOff>
    </xdr:to>
    <xdr:graphicFrame macro="">
      <xdr:nvGraphicFramePr>
        <xdr:cNvPr id="7" name="Chart 18">
          <a:extLst>
            <a:ext uri="{FF2B5EF4-FFF2-40B4-BE49-F238E27FC236}">
              <a16:creationId xmlns:a16="http://schemas.microsoft.com/office/drawing/2014/main" id="{00000000-0008-0000-0200-000007000000}"/>
            </a:ext>
            <a:ext uri="{147F2762-F138-4A5C-976F-8EAC2B608ADB}">
              <a16:predDERef xmlns:a16="http://schemas.microsoft.com/office/drawing/2014/main" pre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0</xdr:colOff>
      <xdr:row>2</xdr:row>
      <xdr:rowOff>0</xdr:rowOff>
    </xdr:from>
    <xdr:to>
      <xdr:col>9</xdr:col>
      <xdr:colOff>653143</xdr:colOff>
      <xdr:row>5</xdr:row>
      <xdr:rowOff>114300</xdr:rowOff>
    </xdr:to>
    <mc:AlternateContent xmlns:mc="http://schemas.openxmlformats.org/markup-compatibility/2006" xmlns:a14="http://schemas.microsoft.com/office/drawing/2010/main">
      <mc:Choice Requires="a14">
        <xdr:graphicFrame macro="">
          <xdr:nvGraphicFramePr>
            <xdr:cNvPr id="8" name="Region of Residence">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Region of Residence"/>
            </a:graphicData>
          </a:graphic>
        </xdr:graphicFrame>
      </mc:Choice>
      <mc:Fallback xmlns="">
        <xdr:sp macro="" textlink="">
          <xdr:nvSpPr>
            <xdr:cNvPr id="0" name=""/>
            <xdr:cNvSpPr>
              <a:spLocks noTextEdit="1"/>
            </xdr:cNvSpPr>
          </xdr:nvSpPr>
          <xdr:spPr>
            <a:xfrm>
              <a:off x="2547257" y="576943"/>
              <a:ext cx="5486400" cy="76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141514</xdr:colOff>
      <xdr:row>3</xdr:row>
      <xdr:rowOff>161401</xdr:rowOff>
    </xdr:from>
    <xdr:ext cx="1937657" cy="449675"/>
    <xdr:sp macro="" textlink="">
      <xdr:nvSpPr>
        <xdr:cNvPr id="2" name="Rectangle 1">
          <a:extLst>
            <a:ext uri="{FF2B5EF4-FFF2-40B4-BE49-F238E27FC236}">
              <a16:creationId xmlns:a16="http://schemas.microsoft.com/office/drawing/2014/main" id="{00000000-0008-0000-0200-000002000000}"/>
            </a:ext>
          </a:extLst>
        </xdr:cNvPr>
        <xdr:cNvSpPr/>
      </xdr:nvSpPr>
      <xdr:spPr>
        <a:xfrm>
          <a:off x="141514" y="923401"/>
          <a:ext cx="1937657" cy="449675"/>
        </a:xfrm>
        <a:prstGeom prst="rect">
          <a:avLst/>
        </a:prstGeom>
      </xdr:spPr>
      <xdr:style>
        <a:lnRef idx="2">
          <a:schemeClr val="accent5"/>
        </a:lnRef>
        <a:fillRef idx="1">
          <a:schemeClr val="lt1"/>
        </a:fillRef>
        <a:effectRef idx="0">
          <a:schemeClr val="accent5"/>
        </a:effectRef>
        <a:fontRef idx="minor">
          <a:schemeClr val="dk1"/>
        </a:fontRef>
      </xdr:style>
      <xdr:txBody>
        <a:bodyPr wrap="square" lIns="91440" tIns="45720" rIns="91440" bIns="45720">
          <a:spAutoFit/>
        </a:bodyPr>
        <a:lstStyle/>
        <a:p>
          <a:pPr algn="ctr"/>
          <a:r>
            <a:rPr lang="en-US" sz="24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Data Source</a:t>
          </a:r>
        </a:p>
      </xdr:txBody>
    </xdr:sp>
    <xdr:clientData/>
  </xdr:oneCellAnchor>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12700</xdr:colOff>
          <xdr:row>9</xdr:row>
          <xdr:rowOff>25400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rebuchet MS" pitchFamily="2" charset="0"/>
                </a:rPr>
                <a:t>Cost of Living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177800</xdr:rowOff>
        </xdr:from>
        <xdr:to>
          <xdr:col>2</xdr:col>
          <xdr:colOff>0</xdr:colOff>
          <xdr:row>11</xdr:row>
          <xdr:rowOff>203200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rebuchet MS" pitchFamily="2" charset="0"/>
                </a:rPr>
                <a:t>Quality of Life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152400</xdr:rowOff>
        </xdr:from>
        <xdr:to>
          <xdr:col>2</xdr:col>
          <xdr:colOff>0</xdr:colOff>
          <xdr:row>15</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rebuchet MS" pitchFamily="2" charset="0"/>
                </a:rPr>
                <a:t>Business Environment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152400</xdr:rowOff>
        </xdr:from>
        <xdr:to>
          <xdr:col>2</xdr:col>
          <xdr:colOff>0</xdr:colOff>
          <xdr:row>17</xdr:row>
          <xdr:rowOff>203200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rebuchet MS" pitchFamily="2" charset="0"/>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152400</xdr:rowOff>
        </xdr:from>
        <xdr:to>
          <xdr:col>2</xdr:col>
          <xdr:colOff>0</xdr:colOff>
          <xdr:row>20</xdr:row>
          <xdr:rowOff>127000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rebuchet MS" pitchFamily="2" charset="0"/>
                </a:rPr>
                <a:t>Healthcare</a:t>
              </a:r>
            </a:p>
          </xdr:txBody>
        </xdr:sp>
        <xdr:clientData fPrintsWithSheet="0"/>
      </xdr:twoCellAnchor>
    </mc:Choice>
    <mc:Fallback/>
  </mc:AlternateContent>
  <xdr:twoCellAnchor>
    <xdr:from>
      <xdr:col>15</xdr:col>
      <xdr:colOff>809625</xdr:colOff>
      <xdr:row>20</xdr:row>
      <xdr:rowOff>0</xdr:rowOff>
    </xdr:from>
    <xdr:to>
      <xdr:col>24</xdr:col>
      <xdr:colOff>0</xdr:colOff>
      <xdr:row>31</xdr:row>
      <xdr:rowOff>28575</xdr:rowOff>
    </xdr:to>
    <xdr:graphicFrame macro="">
      <xdr:nvGraphicFramePr>
        <xdr:cNvPr id="9" name="Corporate Tax Rate">
          <a:extLst>
            <a:ext uri="{FF2B5EF4-FFF2-40B4-BE49-F238E27FC236}">
              <a16:creationId xmlns:a16="http://schemas.microsoft.com/office/drawing/2014/main" id="{A2177129-E8BA-32AA-5534-0166E6D87B2A}"/>
            </a:ext>
            <a:ext uri="{147F2762-F138-4A5C-976F-8EAC2B608ADB}">
              <a16:predDERef xmlns:a16="http://schemas.microsoft.com/office/drawing/2014/main" pred="{00000000-0008-0000-0200-00000508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8</xdr:row>
          <xdr:rowOff>165100</xdr:rowOff>
        </xdr:from>
        <xdr:to>
          <xdr:col>1</xdr:col>
          <xdr:colOff>1651000</xdr:colOff>
          <xdr:row>10</xdr:row>
          <xdr:rowOff>88900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Trebuchet MS"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8</xdr:row>
          <xdr:rowOff>152400</xdr:rowOff>
        </xdr:from>
        <xdr:to>
          <xdr:col>2</xdr:col>
          <xdr:colOff>1727200</xdr:colOff>
          <xdr:row>10</xdr:row>
          <xdr:rowOff>88900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Trebuchet MS" pitchFamily="2" charset="0"/>
                </a:rPr>
                <a:t>Add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609599</xdr:colOff>
      <xdr:row>0</xdr:row>
      <xdr:rowOff>0</xdr:rowOff>
    </xdr:from>
    <xdr:to>
      <xdr:col>6</xdr:col>
      <xdr:colOff>0</xdr:colOff>
      <xdr:row>88</xdr:row>
      <xdr:rowOff>138177</xdr:rowOff>
    </xdr:to>
    <xdr:pic macro="[0]!Print_PPP">
      <xdr:nvPicPr>
        <xdr:cNvPr id="3" name="Graphic 2" descr="Printer">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227126" y="0"/>
          <a:ext cx="1191492" cy="1191122"/>
        </a:xfrm>
        <a:prstGeom prst="rect">
          <a:avLst/>
        </a:prstGeom>
      </xdr:spPr>
    </xdr:pic>
    <xdr:clientData/>
  </xdr:twoCellAnchor>
  <xdr:twoCellAnchor>
    <xdr:from>
      <xdr:col>0</xdr:col>
      <xdr:colOff>0</xdr:colOff>
      <xdr:row>188</xdr:row>
      <xdr:rowOff>1</xdr:rowOff>
    </xdr:from>
    <xdr:to>
      <xdr:col>3</xdr:col>
      <xdr:colOff>1039090</xdr:colOff>
      <xdr:row>206</xdr:row>
      <xdr:rowOff>0</xdr:rowOff>
    </xdr:to>
    <xdr:graphicFrame macro="">
      <xdr:nvGraphicFramePr>
        <xdr:cNvPr id="2" name="Chart 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62.413477893519" backgroundQuery="1" createdVersion="8" refreshedVersion="8" minRefreshableVersion="3" recordCount="0" supportSubquery="1" supportAdvancedDrill="1" xr:uid="{831C98CC-2584-4636-89C5-55BE66AC160D}">
  <cacheSource type="external" connectionId="3"/>
  <cacheFields count="3">
    <cacheField name="[Internet].[Region of Residence].[Region of Residence]" caption="Region of Residence" numFmtId="0" hierarchy="27" level="1">
      <sharedItems count="5">
        <s v="Hong Kong"/>
        <s v="Kazakhstan"/>
        <s v="Pakistan"/>
        <s v="United States"/>
        <s v="Vietnam"/>
      </sharedItems>
    </cacheField>
    <cacheField name="[Measures].[Sum of Internet Speed (Mbps)]" caption="Sum of Internet Speed (Mbps)" numFmtId="0" hierarchy="74" level="32767"/>
    <cacheField name="[Region].[Region of Residence].[Region of Residence]" caption="Region of Residence" numFmtId="0" hierarchy="51" level="1">
      <sharedItems containsSemiMixedTypes="0" containsNonDate="0" containsString="0"/>
    </cacheField>
  </cacheFields>
  <cacheHierarchies count="86">
    <cacheHierarchy uniqueName="[BusinessEnvironment].[Region of Residence]" caption="Region of Residence" attribute="1" defaultMemberUniqueName="[BusinessEnvironment].[Region of Residence].[All]" allUniqueName="[BusinessEnvironment].[Region of Residence].[All]" dimensionUniqueName="[BusinessEnvironment]" displayFolder="" count="0" memberValueDatatype="130" unbalanced="0"/>
    <cacheHierarchy uniqueName="[BusinessEnvironment].[Ease of doing business Index]" caption="Ease of doing business Index" attribute="1" defaultMemberUniqueName="[BusinessEnvironment].[Ease of doing business Index].[All]" allUniqueName="[BusinessEnvironment].[Ease of doing business Index].[All]" dimensionUniqueName="[BusinessEnvironment]" displayFolder="" count="0" memberValueDatatype="5" unbalanced="0"/>
    <cacheHierarchy uniqueName="[BusinessEnvironment].[Corporate Tax rates]" caption="Corporate Tax rates" attribute="1" defaultMemberUniqueName="[BusinessEnvironment].[Corporate Tax rates].[All]" allUniqueName="[BusinessEnvironment].[Corporate Tax rates].[All]" dimensionUniqueName="[BusinessEnvironment]" displayFolder="" count="0" memberValueDatatype="5" unbalanced="0"/>
    <cacheHierarchy uniqueName="[BusinessEnvironment].[Innovation Ranking]" caption="Innovation Ranking" attribute="1" defaultMemberUniqueName="[BusinessEnvironment].[Innovation Ranking].[All]" allUniqueName="[BusinessEnvironment].[Innovation Ranking].[All]" dimensionUniqueName="[BusinessEnvironment]" displayFolder="" count="0" memberValueDatatype="20" unbalanced="0"/>
    <cacheHierarchy uniqueName="[BusinessEnvironment].[Corruption Index]" caption="Corruption Index" attribute="1" defaultMemberUniqueName="[BusinessEnvironment].[Corruption Index].[All]" allUniqueName="[BusinessEnvironment].[Corruption Index].[All]" dimensionUniqueName="[BusinessEnvironment]" displayFolder="" count="0" memberValueDatatype="20" unbalanced="0"/>
    <cacheHierarchy uniqueName="[BusinessEnvironment].[Intellectual Property Protection Index]" caption="Intellectual Property Protection Index" attribute="1" defaultMemberUniqueName="[BusinessEnvironment].[Intellectual Property Protection Index].[All]" allUniqueName="[BusinessEnvironment].[Intellectual Property Protection Index].[All]" dimensionUniqueName="[BusinessEnvironment]" displayFolder="" count="0" memberValueDatatype="5" unbalanced="0"/>
    <cacheHierarchy uniqueName="[BusinessEnvironment].[Stock Market Cap (Million)]" caption="Stock Market Cap (Million)" attribute="1" defaultMemberUniqueName="[BusinessEnvironment].[Stock Market Cap (Million)].[All]" allUniqueName="[BusinessEnvironment].[Stock Market Cap (Million)].[All]" dimensionUniqueName="[BusinessEnvironment]" displayFolder="" count="0" memberValueDatatype="20" unbalanced="0"/>
    <cacheHierarchy uniqueName="[BusinessEnvironment].[Median Income]" caption="Median Income" attribute="1" defaultMemberUniqueName="[BusinessEnvironment].[Median Income].[All]" allUniqueName="[BusinessEnvironment].[Median Income].[All]" dimensionUniqueName="[BusinessEnvironment]" displayFolder="" count="0" memberValueDatatype="20" unbalanced="0"/>
    <cacheHierarchy uniqueName="[BusinessEnvironment].[Transportation Index]" caption="Transportation Index" attribute="1" defaultMemberUniqueName="[BusinessEnvironment].[Transportation Index].[All]" allUniqueName="[BusinessEnvironment].[Transportation Index].[All]" dimensionUniqueName="[BusinessEnvironment]" displayFolder="" count="0" memberValueDatatype="5" unbalanced="0"/>
    <cacheHierarchy uniqueName="[Cost].[Region of Residence]" caption="Region of Residence" attribute="1" defaultMemberUniqueName="[Cost].[Region of Residence].[All]" allUniqueName="[Cost].[Region of Residence].[All]" dimensionUniqueName="[Cost]" displayFolder="" count="0" memberValueDatatype="130" unbalanced="0"/>
    <cacheHierarchy uniqueName="[Cost].[Housing Price to Income Ratio]" caption="Housing Price to Income Ratio" attribute="1" defaultMemberUniqueName="[Cost].[Housing Price to Income Ratio].[All]" allUniqueName="[Cost].[Housing Price to Income Ratio].[All]" dimensionUniqueName="[Cost]" displayFolder="" count="0" memberValueDatatype="5" unbalanced="0"/>
    <cacheHierarchy uniqueName="[Cost].[Food]" caption="Food" attribute="1" defaultMemberUniqueName="[Cost].[Food].[All]" allUniqueName="[Cost].[Food].[All]" dimensionUniqueName="[Cost]" displayFolder="" count="0" memberValueDatatype="5" unbalanced="0"/>
    <cacheHierarchy uniqueName="[Cost].[Transportation (One way bus fare)]" caption="Transportation (One way bus fare)" attribute="1" defaultMemberUniqueName="[Cost].[Transportation (One way bus fare)].[All]" allUniqueName="[Cost].[Transportation (One way bus fare)].[All]" dimensionUniqueName="[Cost]" displayFolder="" count="0" memberValueDatatype="5" unbalanced="0"/>
    <cacheHierarchy uniqueName="[Cost].[Healthcare]" caption="Healthcare" attribute="1" defaultMemberUniqueName="[Cost].[Healthcare].[All]" allUniqueName="[Cost].[Healthcare].[All]" dimensionUniqueName="[Cost]" displayFolder="" count="0" memberValueDatatype="5" unbalanced="0"/>
    <cacheHierarchy uniqueName="[Cost].[Education]" caption="Education" attribute="1" defaultMemberUniqueName="[Cost].[Education].[All]" allUniqueName="[Cost].[Education].[All]" dimensionUniqueName="[Cost]" displayFolder="" count="0" memberValueDatatype="5" unbalanced="0"/>
    <cacheHierarchy uniqueName="[Cost].[Inflation Rates]" caption="Inflation Rates" attribute="1" defaultMemberUniqueName="[Cost].[Inflation Rates].[All]" allUniqueName="[Cost].[Inflation Rates].[All]" dimensionUniqueName="[Cost]" displayFolder="" count="0" memberValueDatatype="5" unbalanced="0"/>
    <cacheHierarchy uniqueName="[Cost].[Currency Purchasing Power]" caption="Currency Purchasing Power" attribute="1" defaultMemberUniqueName="[Cost].[Currency Purchasing Power].[All]" allUniqueName="[Cost].[Currency Purchasing Power].[All]" dimensionUniqueName="[Cost]" displayFolder="" count="0" memberValueDatatype="5" unbalanced="0"/>
    <cacheHierarchy uniqueName="[Cost].[Average Personal Income Tax Rates]" caption="Average Personal Income Tax Rates" attribute="1" defaultMemberUniqueName="[Cost].[Average Personal Income Tax Rates].[All]" allUniqueName="[Cost].[Average Personal Income Tax Rates].[All]" dimensionUniqueName="[Cost]" displayFolder="" count="0" memberValueDatatype="5" unbalanced="0"/>
    <cacheHierarchy uniqueName="[Cost].[Cost of a Vacation (A week)]" caption="Cost of a Vacation (A week)" attribute="1" defaultMemberUniqueName="[Cost].[Cost of a Vacation (A week)].[All]" allUniqueName="[Cost].[Cost of a Vacation (A week)].[All]" dimensionUniqueName="[Cost]" displayFolder="" count="0" memberValueDatatype="20" unbalanced="0"/>
    <cacheHierarchy uniqueName="[Healthcare].[Region of Residence]" caption="Region of Residence" attribute="1" defaultMemberUniqueName="[Healthcare].[Region of Residence].[All]" allUniqueName="[Healthcare].[Region of Residence].[All]" dimensionUniqueName="[Healthcare]" displayFolder="" count="0" memberValueDatatype="130" unbalanced="0"/>
    <cacheHierarchy uniqueName="[Healthcare].[Physician Density (per 1000 people)]" caption="Physician Density (per 1000 people)" attribute="1" defaultMemberUniqueName="[Healthcare].[Physician Density (per 1000 people)].[All]" allUniqueName="[Healthcare].[Physician Density (per 1000 people)].[All]" dimensionUniqueName="[Healthcare]" displayFolder="" count="0" memberValueDatatype="5" unbalanced="0"/>
    <cacheHierarchy uniqueName="[Healthcare].[Hospital Bed Density]" caption="Hospital Bed Density" attribute="1" defaultMemberUniqueName="[Healthcare].[Hospital Bed Density].[All]" allUniqueName="[Healthcare].[Hospital Bed Density].[All]" dimensionUniqueName="[Healthcare]" displayFolder="" count="0" memberValueDatatype="5" unbalanced="0"/>
    <cacheHierarchy uniqueName="[Healthcare].[Health Insurance Coverage]" caption="Health Insurance Coverage" attribute="1" defaultMemberUniqueName="[Healthcare].[Health Insurance Coverage].[All]" allUniqueName="[Healthcare].[Health Insurance Coverage].[All]" dimensionUniqueName="[Healthcare]" displayFolder="" count="0" memberValueDatatype="5" unbalanced="0"/>
    <cacheHierarchy uniqueName="[Healthcare].[Doctors (per 10000)]" caption="Doctors (per 10000)" attribute="1" defaultMemberUniqueName="[Healthcare].[Doctors (per 10000)].[All]" allUniqueName="[Healthcare].[Doctors (per 10000)].[All]" dimensionUniqueName="[Healthcare]" displayFolder="" count="0" memberValueDatatype="5" unbalanced="0"/>
    <cacheHierarchy uniqueName="[Healthcare].[Health Care Index]" caption="Health Care Index" attribute="1" defaultMemberUniqueName="[Healthcare].[Health Care Index].[All]" allUniqueName="[Healthcare].[Health Care Index].[All]" dimensionUniqueName="[Healthcare]" displayFolder="" count="0" memberValueDatatype="5" unbalanced="0"/>
    <cacheHierarchy uniqueName="[Healthcare].[Pollution Index]" caption="Pollution Index" attribute="1" defaultMemberUniqueName="[Healthcare].[Pollution Index].[All]" allUniqueName="[Healthcare].[Pollution Index].[All]" dimensionUniqueName="[Healthcare]" displayFolder="" count="0" memberValueDatatype="5" unbalanced="0"/>
    <cacheHierarchy uniqueName="[Healthcare].[Healthcare Access and Quality]" caption="Healthcare Access and Quality" attribute="1" defaultMemberUniqueName="[Healthcare].[Healthcare Access and Quality].[All]" allUniqueName="[Healthcare].[Healthcare Access and Quality].[All]" dimensionUniqueName="[Healthcare]" displayFolder="" count="0" memberValueDatatype="5" unbalanced="0"/>
    <cacheHierarchy uniqueName="[Internet].[Region of Residence]" caption="Region of Residence" attribute="1" defaultMemberUniqueName="[Internet].[Region of Residence].[All]" allUniqueName="[Internet].[Region of Residence].[All]" dimensionUniqueName="[Internet]" displayFolder="" count="2" memberValueDatatype="130" unbalanced="0">
      <fieldsUsage count="2">
        <fieldUsage x="-1"/>
        <fieldUsage x="0"/>
      </fieldsUsage>
    </cacheHierarchy>
    <cacheHierarchy uniqueName="[Internet].[Internet Speed (Mbps)]" caption="Internet Speed (Mbps)" attribute="1" defaultMemberUniqueName="[Internet].[Internet Speed (Mbps)].[All]" allUniqueName="[Internet].[Internet Speed (Mbps)].[All]" dimensionUniqueName="[Internet]" displayFolder="" count="0" memberValueDatatype="5" unbalanced="0"/>
    <cacheHierarchy uniqueName="[Internet].[Cost per Mbps]" caption="Cost per Mbps" attribute="1" defaultMemberUniqueName="[Internet].[Cost per Mbps].[All]" allUniqueName="[Internet].[Cost per Mbps].[All]" dimensionUniqueName="[Internet]" displayFolder="" count="0" memberValueDatatype="5" unbalanced="0"/>
    <cacheHierarchy uniqueName="[Internet].[Internet Penetration Rate]" caption="Internet Penetration Rate" attribute="1" defaultMemberUniqueName="[Internet].[Internet Penetration Rate].[All]" allUniqueName="[Internet].[Internet Penetration Rate].[All]" dimensionUniqueName="[Internet]" displayFolder="" count="0" memberValueDatatype="5" unbalanced="0"/>
    <cacheHierarchy uniqueName="[Internet].[Internet Censorship Index]" caption="Internet Censorship Index" attribute="1" defaultMemberUniqueName="[Internet].[Internet Censorship Index].[All]" allUniqueName="[Internet].[Internet Censorship Index].[All]" dimensionUniqueName="[Internet]" displayFolder="" count="0" memberValueDatatype="20" unbalanced="0"/>
    <cacheHierarchy uniqueName="[Internet].[Cybersecurity Index]" caption="Cybersecurity Index" attribute="1" defaultMemberUniqueName="[Internet].[Cybersecurity Index].[All]" allUniqueName="[Internet].[Cybersecurity Index].[All]" dimensionUniqueName="[Internet]" displayFolder="" count="0" memberValueDatatype="5" unbalanced="0"/>
    <cacheHierarchy uniqueName="[purchasing_power_parity_ppp].[Country]" caption="Country" attribute="1" defaultMemberUniqueName="[purchasing_power_parity_ppp].[Country].[All]" allUniqueName="[purchasing_power_parity_ppp].[Country].[All]" dimensionUniqueName="[purchasing_power_parity_ppp]" displayFolder="" count="0" memberValueDatatype="130" unbalanced="0"/>
    <cacheHierarchy uniqueName="[purchasing_power_parity_ppp].[Indicator Name]" caption="Indicator Name" attribute="1" defaultMemberUniqueName="[purchasing_power_parity_ppp].[Indicator Name].[All]" allUniqueName="[purchasing_power_parity_ppp].[Indicator Name].[All]" dimensionUniqueName="[purchasing_power_parity_ppp]" displayFolder="" count="0" memberValueDatatype="130" unbalanced="0"/>
    <cacheHierarchy uniqueName="[purchasing_power_parity_ppp].[Year]" caption="Year" attribute="1" defaultMemberUniqueName="[purchasing_power_parity_ppp].[Year].[All]" allUniqueName="[purchasing_power_parity_ppp].[Year].[All]" dimensionUniqueName="[purchasing_power_parity_ppp]" displayFolder="" count="0" memberValueDatatype="20" unbalanced="0"/>
    <cacheHierarchy uniqueName="[purchasing_power_parity_ppp].[PPP]" caption="PPP" attribute="1" defaultMemberUniqueName="[purchasing_power_parity_ppp].[PPP].[All]" allUniqueName="[purchasing_power_parity_ppp].[PPP].[All]" dimensionUniqueName="[purchasing_power_parity_ppp]" displayFolder="" count="0" memberValueDatatype="5" unbalanced="0"/>
    <cacheHierarchy uniqueName="[purchasing-power-parity-ppp].[Country]" caption="Country" attribute="1" defaultMemberUniqueName="[purchasing-power-parity-ppp].[Country].[All]" allUniqueName="[purchasing-power-parity-ppp].[Country].[All]" dimensionUniqueName="[purchasing-power-parity-ppp]" displayFolder="" count="0" memberValueDatatype="130" unbalanced="0"/>
    <cacheHierarchy uniqueName="[purchasing-power-parity-ppp].[Indicator Name]" caption="Indicator Name" attribute="1" defaultMemberUniqueName="[purchasing-power-parity-ppp].[Indicator Name].[All]" allUniqueName="[purchasing-power-parity-ppp].[Indicator Name].[All]" dimensionUniqueName="[purchasing-power-parity-ppp]" displayFolder="" count="0" memberValueDatatype="130" unbalanced="0"/>
    <cacheHierarchy uniqueName="[purchasing-power-parity-ppp].[Year]" caption="Year" attribute="1" defaultMemberUniqueName="[purchasing-power-parity-ppp].[Year].[All]" allUniqueName="[purchasing-power-parity-ppp].[Year].[All]" dimensionUniqueName="[purchasing-power-parity-ppp]" displayFolder="" count="0" memberValueDatatype="20" unbalanced="0"/>
    <cacheHierarchy uniqueName="[purchasing-power-parity-ppp].[PPP]" caption="PPP" attribute="1" defaultMemberUniqueName="[purchasing-power-parity-ppp].[PPP].[All]" allUniqueName="[purchasing-power-parity-ppp].[PPP].[All]" dimensionUniqueName="[purchasing-power-parity-ppp]" displayFolder="" count="0" memberValueDatatype="5" unbalanced="0"/>
    <cacheHierarchy uniqueName="[QualityofLife].[Region of Residence]" caption="Region of Residence" attribute="1" defaultMemberUniqueName="[QualityofLife].[Region of Residence].[All]" allUniqueName="[QualityofLife].[Region of Residence].[All]" dimensionUniqueName="[QualityofLife]" displayFolder="" count="0" memberValueDatatype="130" unbalanced="0"/>
    <cacheHierarchy uniqueName="[QualityofLife].[Life Expectancy]" caption="Life Expectancy" attribute="1" defaultMemberUniqueName="[QualityofLife].[Life Expectancy].[All]" allUniqueName="[QualityofLife].[Life Expectancy].[All]" dimensionUniqueName="[QualityofLife]" displayFolder="" count="0" memberValueDatatype="5" unbalanced="0"/>
    <cacheHierarchy uniqueName="[QualityofLife].[Education Index (Literacy or school enrollment)]" caption="Education Index (Literacy or school enrollment)" attribute="1" defaultMemberUniqueName="[QualityofLife].[Education Index (Literacy or school enrollment)].[All]" allUniqueName="[QualityofLife].[Education Index (Literacy or school enrollment)].[All]" dimensionUniqueName="[QualityofLife]" displayFolder="" count="0" memberValueDatatype="5" unbalanced="0"/>
    <cacheHierarchy uniqueName="[QualityofLife].[GDP per capita]" caption="GDP per capita" attribute="1" defaultMemberUniqueName="[QualityofLife].[GDP per capita].[All]" allUniqueName="[QualityofLife].[GDP per capita].[All]" dimensionUniqueName="[QualityofLife]" displayFolder="" count="0" memberValueDatatype="20" unbalanced="0"/>
    <cacheHierarchy uniqueName="[QualityofLife].[Safety Rate]" caption="Safety Rate" attribute="1" defaultMemberUniqueName="[QualityofLife].[Safety Rate].[All]" allUniqueName="[QualityofLife].[Safety Rate].[All]" dimensionUniqueName="[QualityofLife]" displayFolder="" count="0" memberValueDatatype="5" unbalanced="0"/>
    <cacheHierarchy uniqueName="[QualityofLife].[Pollution Index]" caption="Pollution Index" attribute="1" defaultMemberUniqueName="[QualityofLife].[Pollution Index].[All]" allUniqueName="[QualityofLife].[Pollution Index].[All]" dimensionUniqueName="[QualityofLife]" displayFolder="" count="0" memberValueDatatype="5" unbalanced="0"/>
    <cacheHierarchy uniqueName="[QualityofLife].[Climate Index]" caption="Climate Index" attribute="1" defaultMemberUniqueName="[QualityofLife].[Climate Index].[All]" allUniqueName="[QualityofLife].[Climate Index].[All]" dimensionUniqueName="[QualityofLife]" displayFolder="" count="0" memberValueDatatype="5" unbalanced="0"/>
    <cacheHierarchy uniqueName="[QualityofLife].[Property price to income ratio]" caption="Property price to income ratio" attribute="1" defaultMemberUniqueName="[QualityofLife].[Property price to income ratio].[All]" allUniqueName="[QualityofLife].[Property price to income ratio].[All]" dimensionUniqueName="[QualityofLife]" displayFolder="" count="0" memberValueDatatype="5" unbalanced="0"/>
    <cacheHierarchy uniqueName="[QualityofLife].[Traffic commute time index]" caption="Traffic commute time index" attribute="1" defaultMemberUniqueName="[QualityofLife].[Traffic commute time index].[All]" allUniqueName="[QualityofLife].[Traffic commute time index].[All]" dimensionUniqueName="[QualityofLife]" displayFolder="" count="0" memberValueDatatype="5" unbalanced="0"/>
    <cacheHierarchy uniqueName="[QualityofLife].[Personal Freedom and Human Rights]" caption="Personal Freedom and Human Rights" attribute="1" defaultMemberUniqueName="[QualityofLife].[Personal Freedom and Human Rights].[All]" allUniqueName="[QualityofLife].[Personal Freedom and Human Rights].[All]" dimensionUniqueName="[QualityofLife]" displayFolder="" count="0" memberValueDatatype="5" unbalanced="0"/>
    <cacheHierarchy uniqueName="[Region].[Region of Residence]" caption="Region of Residence" attribute="1" defaultMemberUniqueName="[Region].[Region of Residence].[All]" allUniqueName="[Region].[Region of Residence].[All]" dimensionUniqueName="[Region]" displayFolder="" count="2" memberValueDatatype="130" unbalanced="0">
      <fieldsUsage count="2">
        <fieldUsage x="-1"/>
        <fieldUsage x="2"/>
      </fieldsUsage>
    </cacheHierarchy>
    <cacheHierarchy uniqueName="[Measures].[__XL_Count BusinessEnvironment]" caption="__XL_Count BusinessEnvironment" measure="1" displayFolder="" measureGroup="BusinessEnvironment" count="0" hidden="1"/>
    <cacheHierarchy uniqueName="[Measures].[__XL_Count Cost]" caption="__XL_Count Cost" measure="1" displayFolder="" measureGroup="Cost" count="0" hidden="1"/>
    <cacheHierarchy uniqueName="[Measures].[__XL_Count Healthcare]" caption="__XL_Count Healthcare" measure="1" displayFolder="" measureGroup="Healthcare" count="0" hidden="1"/>
    <cacheHierarchy uniqueName="[Measures].[__XL_Count Internet]" caption="__XL_Count Internet" measure="1" displayFolder="" measureGroup="Internet" count="0" hidden="1"/>
    <cacheHierarchy uniqueName="[Measures].[__XL_Count QualityofLife]" caption="__XL_Count QualityofLife" measure="1" displayFolder="" measureGroup="QualityofLife" count="0" hidden="1"/>
    <cacheHierarchy uniqueName="[Measures].[__XL_Count Region]" caption="__XL_Count Region" measure="1" displayFolder="" measureGroup="Region" count="0" hidden="1"/>
    <cacheHierarchy uniqueName="[Measures].[__XL_Count purchasing-power-parity-ppp]" caption="__XL_Count purchasing-power-parity-ppp" measure="1" displayFolder="" measureGroup="purchasing-power-parity-ppp" count="0" hidden="1"/>
    <cacheHierarchy uniqueName="[Measures].[__XL_Count purchasing_power_parity_ppp]" caption="__XL_Count purchasing_power_parity_ppp" measure="1" displayFolder="" measureGroup="purchasing_power_parity_ppp" count="0" hidden="1"/>
    <cacheHierarchy uniqueName="[Measures].[__No measures defined]" caption="__No measures defined" measure="1" displayFolder="" count="0" hidden="1"/>
    <cacheHierarchy uniqueName="[Measures].[Sum of Healthcare]" caption="Sum of Healthcare" measure="1" displayFolder="" measureGroup="Cost" count="0" hidden="1">
      <extLst>
        <ext xmlns:x15="http://schemas.microsoft.com/office/spreadsheetml/2010/11/main" uri="{B97F6D7D-B522-45F9-BDA1-12C45D357490}">
          <x15:cacheHierarchy aggregatedColumn="13"/>
        </ext>
      </extLst>
    </cacheHierarchy>
    <cacheHierarchy uniqueName="[Measures].[Sum of Corruption Index]" caption="Sum of Corruption Index" measure="1" displayFolder="" measureGroup="BusinessEnvironment" count="0" hidden="1">
      <extLst>
        <ext xmlns:x15="http://schemas.microsoft.com/office/spreadsheetml/2010/11/main" uri="{B97F6D7D-B522-45F9-BDA1-12C45D357490}">
          <x15:cacheHierarchy aggregatedColumn="4"/>
        </ext>
      </extLst>
    </cacheHierarchy>
    <cacheHierarchy uniqueName="[Measures].[Sum of Intellectual Property Protection Index]" caption="Sum of Intellectual Property Protection Index" measure="1" displayFolder="" measureGroup="BusinessEnvironment" count="0" hidden="1">
      <extLst>
        <ext xmlns:x15="http://schemas.microsoft.com/office/spreadsheetml/2010/11/main" uri="{B97F6D7D-B522-45F9-BDA1-12C45D357490}">
          <x15:cacheHierarchy aggregatedColumn="5"/>
        </ext>
      </extLst>
    </cacheHierarchy>
    <cacheHierarchy uniqueName="[Measures].[Sum of Stock Market Cap (Million)]" caption="Sum of Stock Market Cap (Million)" measure="1" displayFolder="" measureGroup="BusinessEnvironment" count="0" hidden="1">
      <extLst>
        <ext xmlns:x15="http://schemas.microsoft.com/office/spreadsheetml/2010/11/main" uri="{B97F6D7D-B522-45F9-BDA1-12C45D357490}">
          <x15:cacheHierarchy aggregatedColumn="6"/>
        </ext>
      </extLst>
    </cacheHierarchy>
    <cacheHierarchy uniqueName="[Measures].[Sum of Internet Penetration Rate]" caption="Sum of Internet Penetration Rate" measure="1" displayFolder="" measureGroup="Internet" count="0" hidden="1"/>
    <cacheHierarchy uniqueName="[Measures].[Sum of Cost per Mbps]" caption="Sum of Cost per Mbps" measure="1" displayFolder="" measureGroup="Internet" count="0" hidden="1">
      <extLst>
        <ext xmlns:x15="http://schemas.microsoft.com/office/spreadsheetml/2010/11/main" uri="{B97F6D7D-B522-45F9-BDA1-12C45D357490}">
          <x15:cacheHierarchy aggregatedColumn="29"/>
        </ext>
      </extLst>
    </cacheHierarchy>
    <cacheHierarchy uniqueName="[Measures].[Sum of Hospital Bed Density]" caption="Sum of Hospital Bed Density" measure="1" displayFolder="" measureGroup="Healthcare" count="0" hidden="1"/>
    <cacheHierarchy uniqueName="[Measures].[Sum of Doctors (per 10000)]" caption="Sum of Doctors (per 10000)" measure="1" displayFolder="" measureGroup="Healthcare" count="0" hidden="1">
      <extLst>
        <ext xmlns:x15="http://schemas.microsoft.com/office/spreadsheetml/2010/11/main" uri="{B97F6D7D-B522-45F9-BDA1-12C45D357490}">
          <x15:cacheHierarchy aggregatedColumn="23"/>
        </ext>
      </extLst>
    </cacheHierarchy>
    <cacheHierarchy uniqueName="[Measures].[Sum of Education]" caption="Sum of Education" measure="1" displayFolder="" measureGroup="Cost" count="0" hidden="1">
      <extLst>
        <ext xmlns:x15="http://schemas.microsoft.com/office/spreadsheetml/2010/11/main" uri="{B97F6D7D-B522-45F9-BDA1-12C45D357490}">
          <x15:cacheHierarchy aggregatedColumn="14"/>
        </ext>
      </extLst>
    </cacheHierarchy>
    <cacheHierarchy uniqueName="[Measures].[Sum of Climate Index]" caption="Sum of Climate Index" measure="1" displayFolder="" measureGroup="QualityofLife" count="0" hidden="1">
      <extLst>
        <ext xmlns:x15="http://schemas.microsoft.com/office/spreadsheetml/2010/11/main" uri="{B97F6D7D-B522-45F9-BDA1-12C45D357490}">
          <x15:cacheHierarchy aggregatedColumn="47"/>
        </ext>
      </extLst>
    </cacheHierarchy>
    <cacheHierarchy uniqueName="[Measures].[Sum of Median Income]" caption="Sum of Median Income" measure="1" displayFolder="" measureGroup="BusinessEnvironment" count="0" hidden="1">
      <extLst>
        <ext xmlns:x15="http://schemas.microsoft.com/office/spreadsheetml/2010/11/main" uri="{B97F6D7D-B522-45F9-BDA1-12C45D357490}">
          <x15:cacheHierarchy aggregatedColumn="7"/>
        </ext>
      </extLst>
    </cacheHierarchy>
    <cacheHierarchy uniqueName="[Measures].[Sum of Transportation Index]" caption="Sum of Transportation Index" measure="1" displayFolder="" measureGroup="BusinessEnvironment" count="0" hidden="1">
      <extLst>
        <ext xmlns:x15="http://schemas.microsoft.com/office/spreadsheetml/2010/11/main" uri="{B97F6D7D-B522-45F9-BDA1-12C45D357490}">
          <x15:cacheHierarchy aggregatedColumn="8"/>
        </ext>
      </extLst>
    </cacheHierarchy>
    <cacheHierarchy uniqueName="[Measures].[Sum of Healthcare Access and Quality]" caption="Sum of Healthcare Access and Quality" measure="1" displayFolder="" measureGroup="Healthcare" count="0" hidden="1">
      <extLst>
        <ext xmlns:x15="http://schemas.microsoft.com/office/spreadsheetml/2010/11/main" uri="{B97F6D7D-B522-45F9-BDA1-12C45D357490}">
          <x15:cacheHierarchy aggregatedColumn="26"/>
        </ext>
      </extLst>
    </cacheHierarchy>
    <cacheHierarchy uniqueName="[Measures].[Sum of Internet Speed (Mbps)]" caption="Sum of Internet Speed (Mbps)" measure="1" displayFolder="" measureGroup="Internet" count="0" oneField="1" hidden="1">
      <fieldsUsage count="1">
        <fieldUsage x="1"/>
      </fieldsUsage>
      <extLst>
        <ext xmlns:x15="http://schemas.microsoft.com/office/spreadsheetml/2010/11/main" uri="{B97F6D7D-B522-45F9-BDA1-12C45D357490}">
          <x15:cacheHierarchy aggregatedColumn="28"/>
        </ext>
      </extLst>
    </cacheHierarchy>
    <cacheHierarchy uniqueName="[Measures].[Sum of Corporate Tax rates]" caption="Sum of Corporate Tax rates" measure="1" displayFolder="" measureGroup="BusinessEnvironment" count="0" hidden="1">
      <extLst>
        <ext xmlns:x15="http://schemas.microsoft.com/office/spreadsheetml/2010/11/main" uri="{B97F6D7D-B522-45F9-BDA1-12C45D357490}">
          <x15:cacheHierarchy aggregatedColumn="2"/>
        </ext>
      </extLst>
    </cacheHierarchy>
    <cacheHierarchy uniqueName="[Measures].[Sum of Education Index (Literacy or school enrollment)]" caption="Sum of Education Index (Literacy or school enrollment)" measure="1" displayFolder="" measureGroup="QualityofLife" count="0" hidden="1">
      <extLst>
        <ext xmlns:x15="http://schemas.microsoft.com/office/spreadsheetml/2010/11/main" uri="{B97F6D7D-B522-45F9-BDA1-12C45D357490}">
          <x15:cacheHierarchy aggregatedColumn="43"/>
        </ext>
      </extLst>
    </cacheHierarchy>
    <cacheHierarchy uniqueName="[Measures].[Sum of Housing Price to Income Ratio]" caption="Sum of Housing Price to Income Ratio" measure="1" displayFolder="" measureGroup="Cost" count="0" hidden="1">
      <extLst>
        <ext xmlns:x15="http://schemas.microsoft.com/office/spreadsheetml/2010/11/main" uri="{B97F6D7D-B522-45F9-BDA1-12C45D357490}">
          <x15:cacheHierarchy aggregatedColumn="10"/>
        </ext>
      </extLst>
    </cacheHierarchy>
    <cacheHierarchy uniqueName="[Measures].[Sum of Food]" caption="Sum of Food" measure="1" displayFolder="" measureGroup="Cost" count="0" hidden="1">
      <extLst>
        <ext xmlns:x15="http://schemas.microsoft.com/office/spreadsheetml/2010/11/main" uri="{B97F6D7D-B522-45F9-BDA1-12C45D357490}">
          <x15:cacheHierarchy aggregatedColumn="11"/>
        </ext>
      </extLst>
    </cacheHierarchy>
    <cacheHierarchy uniqueName="[Measures].[Sum of Property price to income ratio]" caption="Sum of Property price to income ratio" measure="1" displayFolder="" measureGroup="QualityofLife" count="0" hidden="1">
      <extLst>
        <ext xmlns:x15="http://schemas.microsoft.com/office/spreadsheetml/2010/11/main" uri="{B97F6D7D-B522-45F9-BDA1-12C45D357490}">
          <x15:cacheHierarchy aggregatedColumn="48"/>
        </ext>
      </extLst>
    </cacheHierarchy>
    <cacheHierarchy uniqueName="[Measures].[Sum of GDP per capita]" caption="Sum of GDP per capita" measure="1" displayFolder="" measureGroup="QualityofLife" count="0" hidden="1">
      <extLst>
        <ext xmlns:x15="http://schemas.microsoft.com/office/spreadsheetml/2010/11/main" uri="{B97F6D7D-B522-45F9-BDA1-12C45D357490}">
          <x15:cacheHierarchy aggregatedColumn="44"/>
        </ext>
      </extLst>
    </cacheHierarchy>
    <cacheHierarchy uniqueName="[Measures].[Sum of Innovation Ranking]" caption="Sum of Innovation Ranking" measure="1" displayFolder="" measureGroup="BusinessEnvironment" count="0" hidden="1">
      <extLst>
        <ext xmlns:x15="http://schemas.microsoft.com/office/spreadsheetml/2010/11/main" uri="{B97F6D7D-B522-45F9-BDA1-12C45D357490}">
          <x15:cacheHierarchy aggregatedColumn="3"/>
        </ext>
      </extLst>
    </cacheHierarchy>
    <cacheHierarchy uniqueName="[Measures].[Sum of Ease of doing business Index]" caption="Sum of Ease of doing business Index" measure="1" displayFolder="" measureGroup="BusinessEnvironment" count="0" hidden="1">
      <extLst>
        <ext xmlns:x15="http://schemas.microsoft.com/office/spreadsheetml/2010/11/main" uri="{B97F6D7D-B522-45F9-BDA1-12C45D357490}">
          <x15:cacheHierarchy aggregatedColumn="1"/>
        </ext>
      </extLst>
    </cacheHierarchy>
    <cacheHierarchy uniqueName="[Measures].[Sum of Health Insurance Coverage]" caption="Sum of Health Insurance Coverage" measure="1" displayFolder="" measureGroup="Healthcare" count="0" hidden="1">
      <extLst>
        <ext xmlns:x15="http://schemas.microsoft.com/office/spreadsheetml/2010/11/main" uri="{B97F6D7D-B522-45F9-BDA1-12C45D357490}">
          <x15:cacheHierarchy aggregatedColumn="22"/>
        </ext>
      </extLst>
    </cacheHierarchy>
    <cacheHierarchy uniqueName="[Measures].[Sum of PPP]" caption="Sum of PPP" measure="1" displayFolder="" measureGroup="purchasing_power_parity_ppp"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purchasing_power_parity_ppp" count="0" hidden="1">
      <extLst>
        <ext xmlns:x15="http://schemas.microsoft.com/office/spreadsheetml/2010/11/main" uri="{B97F6D7D-B522-45F9-BDA1-12C45D357490}">
          <x15:cacheHierarchy aggregatedColumn="35"/>
        </ext>
      </extLst>
    </cacheHierarchy>
  </cacheHierarchies>
  <kpis count="0"/>
  <dimensions count="9">
    <dimension name="BusinessEnvironment" uniqueName="[BusinessEnvironment]" caption="BusinessEnvironment"/>
    <dimension name="Cost" uniqueName="[Cost]" caption="Cost"/>
    <dimension name="Healthcare" uniqueName="[Healthcare]" caption="Healthcare"/>
    <dimension name="Internet" uniqueName="[Internet]" caption="Internet"/>
    <dimension measure="1" name="Measures" uniqueName="[Measures]" caption="Measures"/>
    <dimension name="purchasing_power_parity_ppp" uniqueName="[purchasing_power_parity_ppp]" caption="purchasing_power_parity_ppp"/>
    <dimension name="purchasing-power-parity-ppp" uniqueName="[purchasing-power-parity-ppp]" caption="purchasing-power-parity-ppp"/>
    <dimension name="QualityofLife" uniqueName="[QualityofLife]" caption="QualityofLife"/>
    <dimension name="Region" uniqueName="[Region]" caption="Region"/>
  </dimensions>
  <measureGroups count="8">
    <measureGroup name="BusinessEnvironment" caption="BusinessEnvironment"/>
    <measureGroup name="Cost" caption="Cost"/>
    <measureGroup name="Healthcare" caption="Healthcare"/>
    <measureGroup name="Internet" caption="Internet"/>
    <measureGroup name="purchasing_power_parity_ppp" caption="purchasing_power_parity_ppp"/>
    <measureGroup name="purchasing-power-parity-ppp" caption="purchasing-power-parity-ppp"/>
    <measureGroup name="QualityofLife" caption="QualityofLife"/>
    <measureGroup name="Region" caption="Region"/>
  </measureGroups>
  <maps count="13">
    <map measureGroup="0" dimension="0"/>
    <map measureGroup="0" dimension="8"/>
    <map measureGroup="1" dimension="1"/>
    <map measureGroup="1" dimension="8"/>
    <map measureGroup="2" dimension="2"/>
    <map measureGroup="2" dimension="8"/>
    <map measureGroup="3" dimension="3"/>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62.413479166666" backgroundQuery="1" createdVersion="8" refreshedVersion="8" minRefreshableVersion="3" recordCount="0" supportSubquery="1" supportAdvancedDrill="1" xr:uid="{85569181-945E-4A7C-8DA2-17B07543CB05}">
  <cacheSource type="external" connectionId="3"/>
  <cacheFields count="4">
    <cacheField name="[Healthcare].[Region of Residence].[Region of Residence]" caption="Region of Residence" numFmtId="0" hierarchy="19" level="1">
      <sharedItems count="5">
        <s v="Hong Kong"/>
        <s v="Kazakhstan"/>
        <s v="Pakistan"/>
        <s v="United States"/>
        <s v="Vietnam"/>
      </sharedItems>
    </cacheField>
    <cacheField name="[Measures].[Sum of Healthcare Access and Quality]" caption="Sum of Healthcare Access and Quality" numFmtId="0" hierarchy="73" level="32767"/>
    <cacheField name="[Measures].[Sum of Health Insurance Coverage]" caption="Sum of Health Insurance Coverage" numFmtId="0" hierarchy="83" level="32767"/>
    <cacheField name="[Region].[Region of Residence].[Region of Residence]" caption="Region of Residence" numFmtId="0" hierarchy="51" level="1">
      <sharedItems containsSemiMixedTypes="0" containsNonDate="0" containsString="0"/>
    </cacheField>
  </cacheFields>
  <cacheHierarchies count="86">
    <cacheHierarchy uniqueName="[BusinessEnvironment].[Region of Residence]" caption="Region of Residence" attribute="1" defaultMemberUniqueName="[BusinessEnvironment].[Region of Residence].[All]" allUniqueName="[BusinessEnvironment].[Region of Residence].[All]" dimensionUniqueName="[BusinessEnvironment]" displayFolder="" count="0" memberValueDatatype="130" unbalanced="0"/>
    <cacheHierarchy uniqueName="[BusinessEnvironment].[Ease of doing business Index]" caption="Ease of doing business Index" attribute="1" defaultMemberUniqueName="[BusinessEnvironment].[Ease of doing business Index].[All]" allUniqueName="[BusinessEnvironment].[Ease of doing business Index].[All]" dimensionUniqueName="[BusinessEnvironment]" displayFolder="" count="0" memberValueDatatype="5" unbalanced="0"/>
    <cacheHierarchy uniqueName="[BusinessEnvironment].[Corporate Tax rates]" caption="Corporate Tax rates" attribute="1" defaultMemberUniqueName="[BusinessEnvironment].[Corporate Tax rates].[All]" allUniqueName="[BusinessEnvironment].[Corporate Tax rates].[All]" dimensionUniqueName="[BusinessEnvironment]" displayFolder="" count="0" memberValueDatatype="5" unbalanced="0"/>
    <cacheHierarchy uniqueName="[BusinessEnvironment].[Innovation Ranking]" caption="Innovation Ranking" attribute="1" defaultMemberUniqueName="[BusinessEnvironment].[Innovation Ranking].[All]" allUniqueName="[BusinessEnvironment].[Innovation Ranking].[All]" dimensionUniqueName="[BusinessEnvironment]" displayFolder="" count="0" memberValueDatatype="20" unbalanced="0"/>
    <cacheHierarchy uniqueName="[BusinessEnvironment].[Corruption Index]" caption="Corruption Index" attribute="1" defaultMemberUniqueName="[BusinessEnvironment].[Corruption Index].[All]" allUniqueName="[BusinessEnvironment].[Corruption Index].[All]" dimensionUniqueName="[BusinessEnvironment]" displayFolder="" count="0" memberValueDatatype="20" unbalanced="0"/>
    <cacheHierarchy uniqueName="[BusinessEnvironment].[Intellectual Property Protection Index]" caption="Intellectual Property Protection Index" attribute="1" defaultMemberUniqueName="[BusinessEnvironment].[Intellectual Property Protection Index].[All]" allUniqueName="[BusinessEnvironment].[Intellectual Property Protection Index].[All]" dimensionUniqueName="[BusinessEnvironment]" displayFolder="" count="0" memberValueDatatype="5" unbalanced="0"/>
    <cacheHierarchy uniqueName="[BusinessEnvironment].[Stock Market Cap (Million)]" caption="Stock Market Cap (Million)" attribute="1" defaultMemberUniqueName="[BusinessEnvironment].[Stock Market Cap (Million)].[All]" allUniqueName="[BusinessEnvironment].[Stock Market Cap (Million)].[All]" dimensionUniqueName="[BusinessEnvironment]" displayFolder="" count="0" memberValueDatatype="20" unbalanced="0"/>
    <cacheHierarchy uniqueName="[BusinessEnvironment].[Median Income]" caption="Median Income" attribute="1" defaultMemberUniqueName="[BusinessEnvironment].[Median Income].[All]" allUniqueName="[BusinessEnvironment].[Median Income].[All]" dimensionUniqueName="[BusinessEnvironment]" displayFolder="" count="0" memberValueDatatype="20" unbalanced="0"/>
    <cacheHierarchy uniqueName="[BusinessEnvironment].[Transportation Index]" caption="Transportation Index" attribute="1" defaultMemberUniqueName="[BusinessEnvironment].[Transportation Index].[All]" allUniqueName="[BusinessEnvironment].[Transportation Index].[All]" dimensionUniqueName="[BusinessEnvironment]" displayFolder="" count="0" memberValueDatatype="5" unbalanced="0"/>
    <cacheHierarchy uniqueName="[Cost].[Region of Residence]" caption="Region of Residence" attribute="1" defaultMemberUniqueName="[Cost].[Region of Residence].[All]" allUniqueName="[Cost].[Region of Residence].[All]" dimensionUniqueName="[Cost]" displayFolder="" count="0" memberValueDatatype="130" unbalanced="0"/>
    <cacheHierarchy uniqueName="[Cost].[Housing Price to Income Ratio]" caption="Housing Price to Income Ratio" attribute="1" defaultMemberUniqueName="[Cost].[Housing Price to Income Ratio].[All]" allUniqueName="[Cost].[Housing Price to Income Ratio].[All]" dimensionUniqueName="[Cost]" displayFolder="" count="0" memberValueDatatype="5" unbalanced="0"/>
    <cacheHierarchy uniqueName="[Cost].[Food]" caption="Food" attribute="1" defaultMemberUniqueName="[Cost].[Food].[All]" allUniqueName="[Cost].[Food].[All]" dimensionUniqueName="[Cost]" displayFolder="" count="0" memberValueDatatype="5" unbalanced="0"/>
    <cacheHierarchy uniqueName="[Cost].[Transportation (One way bus fare)]" caption="Transportation (One way bus fare)" attribute="1" defaultMemberUniqueName="[Cost].[Transportation (One way bus fare)].[All]" allUniqueName="[Cost].[Transportation (One way bus fare)].[All]" dimensionUniqueName="[Cost]" displayFolder="" count="0" memberValueDatatype="5" unbalanced="0"/>
    <cacheHierarchy uniqueName="[Cost].[Healthcare]" caption="Healthcare" attribute="1" defaultMemberUniqueName="[Cost].[Healthcare].[All]" allUniqueName="[Cost].[Healthcare].[All]" dimensionUniqueName="[Cost]" displayFolder="" count="0" memberValueDatatype="5" unbalanced="0"/>
    <cacheHierarchy uniqueName="[Cost].[Education]" caption="Education" attribute="1" defaultMemberUniqueName="[Cost].[Education].[All]" allUniqueName="[Cost].[Education].[All]" dimensionUniqueName="[Cost]" displayFolder="" count="0" memberValueDatatype="5" unbalanced="0"/>
    <cacheHierarchy uniqueName="[Cost].[Inflation Rates]" caption="Inflation Rates" attribute="1" defaultMemberUniqueName="[Cost].[Inflation Rates].[All]" allUniqueName="[Cost].[Inflation Rates].[All]" dimensionUniqueName="[Cost]" displayFolder="" count="0" memberValueDatatype="5" unbalanced="0"/>
    <cacheHierarchy uniqueName="[Cost].[Currency Purchasing Power]" caption="Currency Purchasing Power" attribute="1" defaultMemberUniqueName="[Cost].[Currency Purchasing Power].[All]" allUniqueName="[Cost].[Currency Purchasing Power].[All]" dimensionUniqueName="[Cost]" displayFolder="" count="0" memberValueDatatype="5" unbalanced="0"/>
    <cacheHierarchy uniqueName="[Cost].[Average Personal Income Tax Rates]" caption="Average Personal Income Tax Rates" attribute="1" defaultMemberUniqueName="[Cost].[Average Personal Income Tax Rates].[All]" allUniqueName="[Cost].[Average Personal Income Tax Rates].[All]" dimensionUniqueName="[Cost]" displayFolder="" count="0" memberValueDatatype="5" unbalanced="0"/>
    <cacheHierarchy uniqueName="[Cost].[Cost of a Vacation (A week)]" caption="Cost of a Vacation (A week)" attribute="1" defaultMemberUniqueName="[Cost].[Cost of a Vacation (A week)].[All]" allUniqueName="[Cost].[Cost of a Vacation (A week)].[All]" dimensionUniqueName="[Cost]" displayFolder="" count="0" memberValueDatatype="20" unbalanced="0"/>
    <cacheHierarchy uniqueName="[Healthcare].[Region of Residence]" caption="Region of Residence" attribute="1" defaultMemberUniqueName="[Healthcare].[Region of Residence].[All]" allUniqueName="[Healthcare].[Region of Residence].[All]" dimensionUniqueName="[Healthcare]" displayFolder="" count="2" memberValueDatatype="130" unbalanced="0">
      <fieldsUsage count="2">
        <fieldUsage x="-1"/>
        <fieldUsage x="0"/>
      </fieldsUsage>
    </cacheHierarchy>
    <cacheHierarchy uniqueName="[Healthcare].[Physician Density (per 1000 people)]" caption="Physician Density (per 1000 people)" attribute="1" defaultMemberUniqueName="[Healthcare].[Physician Density (per 1000 people)].[All]" allUniqueName="[Healthcare].[Physician Density (per 1000 people)].[All]" dimensionUniqueName="[Healthcare]" displayFolder="" count="0" memberValueDatatype="5" unbalanced="0"/>
    <cacheHierarchy uniqueName="[Healthcare].[Hospital Bed Density]" caption="Hospital Bed Density" attribute="1" defaultMemberUniqueName="[Healthcare].[Hospital Bed Density].[All]" allUniqueName="[Healthcare].[Hospital Bed Density].[All]" dimensionUniqueName="[Healthcare]" displayFolder="" count="0" memberValueDatatype="5" unbalanced="0"/>
    <cacheHierarchy uniqueName="[Healthcare].[Health Insurance Coverage]" caption="Health Insurance Coverage" attribute="1" defaultMemberUniqueName="[Healthcare].[Health Insurance Coverage].[All]" allUniqueName="[Healthcare].[Health Insurance Coverage].[All]" dimensionUniqueName="[Healthcare]" displayFolder="" count="0" memberValueDatatype="5" unbalanced="0"/>
    <cacheHierarchy uniqueName="[Healthcare].[Doctors (per 10000)]" caption="Doctors (per 10000)" attribute="1" defaultMemberUniqueName="[Healthcare].[Doctors (per 10000)].[All]" allUniqueName="[Healthcare].[Doctors (per 10000)].[All]" dimensionUniqueName="[Healthcare]" displayFolder="" count="0" memberValueDatatype="5" unbalanced="0"/>
    <cacheHierarchy uniqueName="[Healthcare].[Health Care Index]" caption="Health Care Index" attribute="1" defaultMemberUniqueName="[Healthcare].[Health Care Index].[All]" allUniqueName="[Healthcare].[Health Care Index].[All]" dimensionUniqueName="[Healthcare]" displayFolder="" count="0" memberValueDatatype="5" unbalanced="0"/>
    <cacheHierarchy uniqueName="[Healthcare].[Pollution Index]" caption="Pollution Index" attribute="1" defaultMemberUniqueName="[Healthcare].[Pollution Index].[All]" allUniqueName="[Healthcare].[Pollution Index].[All]" dimensionUniqueName="[Healthcare]" displayFolder="" count="0" memberValueDatatype="5" unbalanced="0"/>
    <cacheHierarchy uniqueName="[Healthcare].[Healthcare Access and Quality]" caption="Healthcare Access and Quality" attribute="1" defaultMemberUniqueName="[Healthcare].[Healthcare Access and Quality].[All]" allUniqueName="[Healthcare].[Healthcare Access and Quality].[All]" dimensionUniqueName="[Healthcare]" displayFolder="" count="0" memberValueDatatype="5" unbalanced="0"/>
    <cacheHierarchy uniqueName="[Internet].[Region of Residence]" caption="Region of Residence" attribute="1" defaultMemberUniqueName="[Internet].[Region of Residence].[All]" allUniqueName="[Internet].[Region of Residence].[All]" dimensionUniqueName="[Internet]" displayFolder="" count="0" memberValueDatatype="130" unbalanced="0"/>
    <cacheHierarchy uniqueName="[Internet].[Internet Speed (Mbps)]" caption="Internet Speed (Mbps)" attribute="1" defaultMemberUniqueName="[Internet].[Internet Speed (Mbps)].[All]" allUniqueName="[Internet].[Internet Speed (Mbps)].[All]" dimensionUniqueName="[Internet]" displayFolder="" count="0" memberValueDatatype="5" unbalanced="0"/>
    <cacheHierarchy uniqueName="[Internet].[Cost per Mbps]" caption="Cost per Mbps" attribute="1" defaultMemberUniqueName="[Internet].[Cost per Mbps].[All]" allUniqueName="[Internet].[Cost per Mbps].[All]" dimensionUniqueName="[Internet]" displayFolder="" count="0" memberValueDatatype="5" unbalanced="0"/>
    <cacheHierarchy uniqueName="[Internet].[Internet Penetration Rate]" caption="Internet Penetration Rate" attribute="1" defaultMemberUniqueName="[Internet].[Internet Penetration Rate].[All]" allUniqueName="[Internet].[Internet Penetration Rate].[All]" dimensionUniqueName="[Internet]" displayFolder="" count="0" memberValueDatatype="5" unbalanced="0"/>
    <cacheHierarchy uniqueName="[Internet].[Internet Censorship Index]" caption="Internet Censorship Index" attribute="1" defaultMemberUniqueName="[Internet].[Internet Censorship Index].[All]" allUniqueName="[Internet].[Internet Censorship Index].[All]" dimensionUniqueName="[Internet]" displayFolder="" count="0" memberValueDatatype="20" unbalanced="0"/>
    <cacheHierarchy uniqueName="[Internet].[Cybersecurity Index]" caption="Cybersecurity Index" attribute="1" defaultMemberUniqueName="[Internet].[Cybersecurity Index].[All]" allUniqueName="[Internet].[Cybersecurity Index].[All]" dimensionUniqueName="[Internet]" displayFolder="" count="0" memberValueDatatype="5" unbalanced="0"/>
    <cacheHierarchy uniqueName="[purchasing_power_parity_ppp].[Country]" caption="Country" attribute="1" defaultMemberUniqueName="[purchasing_power_parity_ppp].[Country].[All]" allUniqueName="[purchasing_power_parity_ppp].[Country].[All]" dimensionUniqueName="[purchasing_power_parity_ppp]" displayFolder="" count="0" memberValueDatatype="130" unbalanced="0"/>
    <cacheHierarchy uniqueName="[purchasing_power_parity_ppp].[Indicator Name]" caption="Indicator Name" attribute="1" defaultMemberUniqueName="[purchasing_power_parity_ppp].[Indicator Name].[All]" allUniqueName="[purchasing_power_parity_ppp].[Indicator Name].[All]" dimensionUniqueName="[purchasing_power_parity_ppp]" displayFolder="" count="0" memberValueDatatype="130" unbalanced="0"/>
    <cacheHierarchy uniqueName="[purchasing_power_parity_ppp].[Year]" caption="Year" attribute="1" defaultMemberUniqueName="[purchasing_power_parity_ppp].[Year].[All]" allUniqueName="[purchasing_power_parity_ppp].[Year].[All]" dimensionUniqueName="[purchasing_power_parity_ppp]" displayFolder="" count="0" memberValueDatatype="20" unbalanced="0"/>
    <cacheHierarchy uniqueName="[purchasing_power_parity_ppp].[PPP]" caption="PPP" attribute="1" defaultMemberUniqueName="[purchasing_power_parity_ppp].[PPP].[All]" allUniqueName="[purchasing_power_parity_ppp].[PPP].[All]" dimensionUniqueName="[purchasing_power_parity_ppp]" displayFolder="" count="0" memberValueDatatype="5" unbalanced="0"/>
    <cacheHierarchy uniqueName="[purchasing-power-parity-ppp].[Country]" caption="Country" attribute="1" defaultMemberUniqueName="[purchasing-power-parity-ppp].[Country].[All]" allUniqueName="[purchasing-power-parity-ppp].[Country].[All]" dimensionUniqueName="[purchasing-power-parity-ppp]" displayFolder="" count="0" memberValueDatatype="130" unbalanced="0"/>
    <cacheHierarchy uniqueName="[purchasing-power-parity-ppp].[Indicator Name]" caption="Indicator Name" attribute="1" defaultMemberUniqueName="[purchasing-power-parity-ppp].[Indicator Name].[All]" allUniqueName="[purchasing-power-parity-ppp].[Indicator Name].[All]" dimensionUniqueName="[purchasing-power-parity-ppp]" displayFolder="" count="0" memberValueDatatype="130" unbalanced="0"/>
    <cacheHierarchy uniqueName="[purchasing-power-parity-ppp].[Year]" caption="Year" attribute="1" defaultMemberUniqueName="[purchasing-power-parity-ppp].[Year].[All]" allUniqueName="[purchasing-power-parity-ppp].[Year].[All]" dimensionUniqueName="[purchasing-power-parity-ppp]" displayFolder="" count="0" memberValueDatatype="20" unbalanced="0"/>
    <cacheHierarchy uniqueName="[purchasing-power-parity-ppp].[PPP]" caption="PPP" attribute="1" defaultMemberUniqueName="[purchasing-power-parity-ppp].[PPP].[All]" allUniqueName="[purchasing-power-parity-ppp].[PPP].[All]" dimensionUniqueName="[purchasing-power-parity-ppp]" displayFolder="" count="0" memberValueDatatype="5" unbalanced="0"/>
    <cacheHierarchy uniqueName="[QualityofLife].[Region of Residence]" caption="Region of Residence" attribute="1" defaultMemberUniqueName="[QualityofLife].[Region of Residence].[All]" allUniqueName="[QualityofLife].[Region of Residence].[All]" dimensionUniqueName="[QualityofLife]" displayFolder="" count="0" memberValueDatatype="130" unbalanced="0"/>
    <cacheHierarchy uniqueName="[QualityofLife].[Life Expectancy]" caption="Life Expectancy" attribute="1" defaultMemberUniqueName="[QualityofLife].[Life Expectancy].[All]" allUniqueName="[QualityofLife].[Life Expectancy].[All]" dimensionUniqueName="[QualityofLife]" displayFolder="" count="0" memberValueDatatype="5" unbalanced="0"/>
    <cacheHierarchy uniqueName="[QualityofLife].[Education Index (Literacy or school enrollment)]" caption="Education Index (Literacy or school enrollment)" attribute="1" defaultMemberUniqueName="[QualityofLife].[Education Index (Literacy or school enrollment)].[All]" allUniqueName="[QualityofLife].[Education Index (Literacy or school enrollment)].[All]" dimensionUniqueName="[QualityofLife]" displayFolder="" count="0" memberValueDatatype="5" unbalanced="0"/>
    <cacheHierarchy uniqueName="[QualityofLife].[GDP per capita]" caption="GDP per capita" attribute="1" defaultMemberUniqueName="[QualityofLife].[GDP per capita].[All]" allUniqueName="[QualityofLife].[GDP per capita].[All]" dimensionUniqueName="[QualityofLife]" displayFolder="" count="0" memberValueDatatype="20" unbalanced="0"/>
    <cacheHierarchy uniqueName="[QualityofLife].[Safety Rate]" caption="Safety Rate" attribute="1" defaultMemberUniqueName="[QualityofLife].[Safety Rate].[All]" allUniqueName="[QualityofLife].[Safety Rate].[All]" dimensionUniqueName="[QualityofLife]" displayFolder="" count="0" memberValueDatatype="5" unbalanced="0"/>
    <cacheHierarchy uniqueName="[QualityofLife].[Pollution Index]" caption="Pollution Index" attribute="1" defaultMemberUniqueName="[QualityofLife].[Pollution Index].[All]" allUniqueName="[QualityofLife].[Pollution Index].[All]" dimensionUniqueName="[QualityofLife]" displayFolder="" count="0" memberValueDatatype="5" unbalanced="0"/>
    <cacheHierarchy uniqueName="[QualityofLife].[Climate Index]" caption="Climate Index" attribute="1" defaultMemberUniqueName="[QualityofLife].[Climate Index].[All]" allUniqueName="[QualityofLife].[Climate Index].[All]" dimensionUniqueName="[QualityofLife]" displayFolder="" count="0" memberValueDatatype="5" unbalanced="0"/>
    <cacheHierarchy uniqueName="[QualityofLife].[Property price to income ratio]" caption="Property price to income ratio" attribute="1" defaultMemberUniqueName="[QualityofLife].[Property price to income ratio].[All]" allUniqueName="[QualityofLife].[Property price to income ratio].[All]" dimensionUniqueName="[QualityofLife]" displayFolder="" count="0" memberValueDatatype="5" unbalanced="0"/>
    <cacheHierarchy uniqueName="[QualityofLife].[Traffic commute time index]" caption="Traffic commute time index" attribute="1" defaultMemberUniqueName="[QualityofLife].[Traffic commute time index].[All]" allUniqueName="[QualityofLife].[Traffic commute time index].[All]" dimensionUniqueName="[QualityofLife]" displayFolder="" count="0" memberValueDatatype="5" unbalanced="0"/>
    <cacheHierarchy uniqueName="[QualityofLife].[Personal Freedom and Human Rights]" caption="Personal Freedom and Human Rights" attribute="1" defaultMemberUniqueName="[QualityofLife].[Personal Freedom and Human Rights].[All]" allUniqueName="[QualityofLife].[Personal Freedom and Human Rights].[All]" dimensionUniqueName="[QualityofLife]" displayFolder="" count="0" memberValueDatatype="5" unbalanced="0"/>
    <cacheHierarchy uniqueName="[Region].[Region of Residence]" caption="Region of Residence" attribute="1" defaultMemberUniqueName="[Region].[Region of Residence].[All]" allUniqueName="[Region].[Region of Residence].[All]" dimensionUniqueName="[Region]" displayFolder="" count="2" memberValueDatatype="130" unbalanced="0">
      <fieldsUsage count="2">
        <fieldUsage x="-1"/>
        <fieldUsage x="3"/>
      </fieldsUsage>
    </cacheHierarchy>
    <cacheHierarchy uniqueName="[Measures].[__XL_Count BusinessEnvironment]" caption="__XL_Count BusinessEnvironment" measure="1" displayFolder="" measureGroup="BusinessEnvironment" count="0" hidden="1"/>
    <cacheHierarchy uniqueName="[Measures].[__XL_Count Cost]" caption="__XL_Count Cost" measure="1" displayFolder="" measureGroup="Cost" count="0" hidden="1"/>
    <cacheHierarchy uniqueName="[Measures].[__XL_Count Healthcare]" caption="__XL_Count Healthcare" measure="1" displayFolder="" measureGroup="Healthcare" count="0" hidden="1"/>
    <cacheHierarchy uniqueName="[Measures].[__XL_Count Internet]" caption="__XL_Count Internet" measure="1" displayFolder="" measureGroup="Internet" count="0" hidden="1"/>
    <cacheHierarchy uniqueName="[Measures].[__XL_Count QualityofLife]" caption="__XL_Count QualityofLife" measure="1" displayFolder="" measureGroup="QualityofLife" count="0" hidden="1"/>
    <cacheHierarchy uniqueName="[Measures].[__XL_Count Region]" caption="__XL_Count Region" measure="1" displayFolder="" measureGroup="Region" count="0" hidden="1"/>
    <cacheHierarchy uniqueName="[Measures].[__XL_Count purchasing-power-parity-ppp]" caption="__XL_Count purchasing-power-parity-ppp" measure="1" displayFolder="" measureGroup="purchasing-power-parity-ppp" count="0" hidden="1"/>
    <cacheHierarchy uniqueName="[Measures].[__XL_Count purchasing_power_parity_ppp]" caption="__XL_Count purchasing_power_parity_ppp" measure="1" displayFolder="" measureGroup="purchasing_power_parity_ppp" count="0" hidden="1"/>
    <cacheHierarchy uniqueName="[Measures].[__No measures defined]" caption="__No measures defined" measure="1" displayFolder="" count="0" hidden="1"/>
    <cacheHierarchy uniqueName="[Measures].[Sum of Healthcare]" caption="Sum of Healthcare" measure="1" displayFolder="" measureGroup="Cost" count="0" hidden="1">
      <extLst>
        <ext xmlns:x15="http://schemas.microsoft.com/office/spreadsheetml/2010/11/main" uri="{B97F6D7D-B522-45F9-BDA1-12C45D357490}">
          <x15:cacheHierarchy aggregatedColumn="13"/>
        </ext>
      </extLst>
    </cacheHierarchy>
    <cacheHierarchy uniqueName="[Measures].[Sum of Corruption Index]" caption="Sum of Corruption Index" measure="1" displayFolder="" measureGroup="BusinessEnvironment" count="0" hidden="1">
      <extLst>
        <ext xmlns:x15="http://schemas.microsoft.com/office/spreadsheetml/2010/11/main" uri="{B97F6D7D-B522-45F9-BDA1-12C45D357490}">
          <x15:cacheHierarchy aggregatedColumn="4"/>
        </ext>
      </extLst>
    </cacheHierarchy>
    <cacheHierarchy uniqueName="[Measures].[Sum of Intellectual Property Protection Index]" caption="Sum of Intellectual Property Protection Index" measure="1" displayFolder="" measureGroup="BusinessEnvironment" count="0" hidden="1">
      <extLst>
        <ext xmlns:x15="http://schemas.microsoft.com/office/spreadsheetml/2010/11/main" uri="{B97F6D7D-B522-45F9-BDA1-12C45D357490}">
          <x15:cacheHierarchy aggregatedColumn="5"/>
        </ext>
      </extLst>
    </cacheHierarchy>
    <cacheHierarchy uniqueName="[Measures].[Sum of Stock Market Cap (Million)]" caption="Sum of Stock Market Cap (Million)" measure="1" displayFolder="" measureGroup="BusinessEnvironment" count="0" hidden="1">
      <extLst>
        <ext xmlns:x15="http://schemas.microsoft.com/office/spreadsheetml/2010/11/main" uri="{B97F6D7D-B522-45F9-BDA1-12C45D357490}">
          <x15:cacheHierarchy aggregatedColumn="6"/>
        </ext>
      </extLst>
    </cacheHierarchy>
    <cacheHierarchy uniqueName="[Measures].[Sum of Internet Penetration Rate]" caption="Sum of Internet Penetration Rate" measure="1" displayFolder="" measureGroup="Internet" count="0" hidden="1"/>
    <cacheHierarchy uniqueName="[Measures].[Sum of Cost per Mbps]" caption="Sum of Cost per Mbps" measure="1" displayFolder="" measureGroup="Internet" count="0" hidden="1">
      <extLst>
        <ext xmlns:x15="http://schemas.microsoft.com/office/spreadsheetml/2010/11/main" uri="{B97F6D7D-B522-45F9-BDA1-12C45D357490}">
          <x15:cacheHierarchy aggregatedColumn="29"/>
        </ext>
      </extLst>
    </cacheHierarchy>
    <cacheHierarchy uniqueName="[Measures].[Sum of Hospital Bed Density]" caption="Sum of Hospital Bed Density" measure="1" displayFolder="" measureGroup="Healthcare" count="0" hidden="1"/>
    <cacheHierarchy uniqueName="[Measures].[Sum of Doctors (per 10000)]" caption="Sum of Doctors (per 10000)" measure="1" displayFolder="" measureGroup="Healthcare" count="0" hidden="1">
      <extLst>
        <ext xmlns:x15="http://schemas.microsoft.com/office/spreadsheetml/2010/11/main" uri="{B97F6D7D-B522-45F9-BDA1-12C45D357490}">
          <x15:cacheHierarchy aggregatedColumn="23"/>
        </ext>
      </extLst>
    </cacheHierarchy>
    <cacheHierarchy uniqueName="[Measures].[Sum of Education]" caption="Sum of Education" measure="1" displayFolder="" measureGroup="Cost" count="0" hidden="1">
      <extLst>
        <ext xmlns:x15="http://schemas.microsoft.com/office/spreadsheetml/2010/11/main" uri="{B97F6D7D-B522-45F9-BDA1-12C45D357490}">
          <x15:cacheHierarchy aggregatedColumn="14"/>
        </ext>
      </extLst>
    </cacheHierarchy>
    <cacheHierarchy uniqueName="[Measures].[Sum of Climate Index]" caption="Sum of Climate Index" measure="1" displayFolder="" measureGroup="QualityofLife" count="0" hidden="1">
      <extLst>
        <ext xmlns:x15="http://schemas.microsoft.com/office/spreadsheetml/2010/11/main" uri="{B97F6D7D-B522-45F9-BDA1-12C45D357490}">
          <x15:cacheHierarchy aggregatedColumn="47"/>
        </ext>
      </extLst>
    </cacheHierarchy>
    <cacheHierarchy uniqueName="[Measures].[Sum of Median Income]" caption="Sum of Median Income" measure="1" displayFolder="" measureGroup="BusinessEnvironment" count="0" hidden="1">
      <extLst>
        <ext xmlns:x15="http://schemas.microsoft.com/office/spreadsheetml/2010/11/main" uri="{B97F6D7D-B522-45F9-BDA1-12C45D357490}">
          <x15:cacheHierarchy aggregatedColumn="7"/>
        </ext>
      </extLst>
    </cacheHierarchy>
    <cacheHierarchy uniqueName="[Measures].[Sum of Transportation Index]" caption="Sum of Transportation Index" measure="1" displayFolder="" measureGroup="BusinessEnvironment" count="0" hidden="1">
      <extLst>
        <ext xmlns:x15="http://schemas.microsoft.com/office/spreadsheetml/2010/11/main" uri="{B97F6D7D-B522-45F9-BDA1-12C45D357490}">
          <x15:cacheHierarchy aggregatedColumn="8"/>
        </ext>
      </extLst>
    </cacheHierarchy>
    <cacheHierarchy uniqueName="[Measures].[Sum of Healthcare Access and Quality]" caption="Sum of Healthcare Access and Quality" measure="1" displayFolder="" measureGroup="Healthcare"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Internet Speed (Mbps)]" caption="Sum of Internet Speed (Mbps)" measure="1" displayFolder="" measureGroup="Internet" count="0" hidden="1">
      <extLst>
        <ext xmlns:x15="http://schemas.microsoft.com/office/spreadsheetml/2010/11/main" uri="{B97F6D7D-B522-45F9-BDA1-12C45D357490}">
          <x15:cacheHierarchy aggregatedColumn="28"/>
        </ext>
      </extLst>
    </cacheHierarchy>
    <cacheHierarchy uniqueName="[Measures].[Sum of Corporate Tax rates]" caption="Sum of Corporate Tax rates" measure="1" displayFolder="" measureGroup="BusinessEnvironment" count="0" hidden="1">
      <extLst>
        <ext xmlns:x15="http://schemas.microsoft.com/office/spreadsheetml/2010/11/main" uri="{B97F6D7D-B522-45F9-BDA1-12C45D357490}">
          <x15:cacheHierarchy aggregatedColumn="2"/>
        </ext>
      </extLst>
    </cacheHierarchy>
    <cacheHierarchy uniqueName="[Measures].[Sum of Education Index (Literacy or school enrollment)]" caption="Sum of Education Index (Literacy or school enrollment)" measure="1" displayFolder="" measureGroup="QualityofLife" count="0" hidden="1">
      <extLst>
        <ext xmlns:x15="http://schemas.microsoft.com/office/spreadsheetml/2010/11/main" uri="{B97F6D7D-B522-45F9-BDA1-12C45D357490}">
          <x15:cacheHierarchy aggregatedColumn="43"/>
        </ext>
      </extLst>
    </cacheHierarchy>
    <cacheHierarchy uniqueName="[Measures].[Sum of Housing Price to Income Ratio]" caption="Sum of Housing Price to Income Ratio" measure="1" displayFolder="" measureGroup="Cost" count="0" hidden="1">
      <extLst>
        <ext xmlns:x15="http://schemas.microsoft.com/office/spreadsheetml/2010/11/main" uri="{B97F6D7D-B522-45F9-BDA1-12C45D357490}">
          <x15:cacheHierarchy aggregatedColumn="10"/>
        </ext>
      </extLst>
    </cacheHierarchy>
    <cacheHierarchy uniqueName="[Measures].[Sum of Food]" caption="Sum of Food" measure="1" displayFolder="" measureGroup="Cost" count="0" hidden="1">
      <extLst>
        <ext xmlns:x15="http://schemas.microsoft.com/office/spreadsheetml/2010/11/main" uri="{B97F6D7D-B522-45F9-BDA1-12C45D357490}">
          <x15:cacheHierarchy aggregatedColumn="11"/>
        </ext>
      </extLst>
    </cacheHierarchy>
    <cacheHierarchy uniqueName="[Measures].[Sum of Property price to income ratio]" caption="Sum of Property price to income ratio" measure="1" displayFolder="" measureGroup="QualityofLife" count="0" hidden="1">
      <extLst>
        <ext xmlns:x15="http://schemas.microsoft.com/office/spreadsheetml/2010/11/main" uri="{B97F6D7D-B522-45F9-BDA1-12C45D357490}">
          <x15:cacheHierarchy aggregatedColumn="48"/>
        </ext>
      </extLst>
    </cacheHierarchy>
    <cacheHierarchy uniqueName="[Measures].[Sum of GDP per capita]" caption="Sum of GDP per capita" measure="1" displayFolder="" measureGroup="QualityofLife" count="0" hidden="1">
      <extLst>
        <ext xmlns:x15="http://schemas.microsoft.com/office/spreadsheetml/2010/11/main" uri="{B97F6D7D-B522-45F9-BDA1-12C45D357490}">
          <x15:cacheHierarchy aggregatedColumn="44"/>
        </ext>
      </extLst>
    </cacheHierarchy>
    <cacheHierarchy uniqueName="[Measures].[Sum of Innovation Ranking]" caption="Sum of Innovation Ranking" measure="1" displayFolder="" measureGroup="BusinessEnvironment" count="0" hidden="1">
      <extLst>
        <ext xmlns:x15="http://schemas.microsoft.com/office/spreadsheetml/2010/11/main" uri="{B97F6D7D-B522-45F9-BDA1-12C45D357490}">
          <x15:cacheHierarchy aggregatedColumn="3"/>
        </ext>
      </extLst>
    </cacheHierarchy>
    <cacheHierarchy uniqueName="[Measures].[Sum of Ease of doing business Index]" caption="Sum of Ease of doing business Index" measure="1" displayFolder="" measureGroup="BusinessEnvironment" count="0" hidden="1">
      <extLst>
        <ext xmlns:x15="http://schemas.microsoft.com/office/spreadsheetml/2010/11/main" uri="{B97F6D7D-B522-45F9-BDA1-12C45D357490}">
          <x15:cacheHierarchy aggregatedColumn="1"/>
        </ext>
      </extLst>
    </cacheHierarchy>
    <cacheHierarchy uniqueName="[Measures].[Sum of Health Insurance Coverage]" caption="Sum of Health Insurance Coverage" measure="1" displayFolder="" measureGroup="Healthcare"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PPP]" caption="Sum of PPP" measure="1" displayFolder="" measureGroup="purchasing_power_parity_ppp"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purchasing_power_parity_ppp" count="0" hidden="1">
      <extLst>
        <ext xmlns:x15="http://schemas.microsoft.com/office/spreadsheetml/2010/11/main" uri="{B97F6D7D-B522-45F9-BDA1-12C45D357490}">
          <x15:cacheHierarchy aggregatedColumn="35"/>
        </ext>
      </extLst>
    </cacheHierarchy>
  </cacheHierarchies>
  <kpis count="0"/>
  <dimensions count="9">
    <dimension name="BusinessEnvironment" uniqueName="[BusinessEnvironment]" caption="BusinessEnvironment"/>
    <dimension name="Cost" uniqueName="[Cost]" caption="Cost"/>
    <dimension name="Healthcare" uniqueName="[Healthcare]" caption="Healthcare"/>
    <dimension name="Internet" uniqueName="[Internet]" caption="Internet"/>
    <dimension measure="1" name="Measures" uniqueName="[Measures]" caption="Measures"/>
    <dimension name="purchasing_power_parity_ppp" uniqueName="[purchasing_power_parity_ppp]" caption="purchasing_power_parity_ppp"/>
    <dimension name="purchasing-power-parity-ppp" uniqueName="[purchasing-power-parity-ppp]" caption="purchasing-power-parity-ppp"/>
    <dimension name="QualityofLife" uniqueName="[QualityofLife]" caption="QualityofLife"/>
    <dimension name="Region" uniqueName="[Region]" caption="Region"/>
  </dimensions>
  <measureGroups count="8">
    <measureGroup name="BusinessEnvironment" caption="BusinessEnvironment"/>
    <measureGroup name="Cost" caption="Cost"/>
    <measureGroup name="Healthcare" caption="Healthcare"/>
    <measureGroup name="Internet" caption="Internet"/>
    <measureGroup name="purchasing_power_parity_ppp" caption="purchasing_power_parity_ppp"/>
    <measureGroup name="purchasing-power-parity-ppp" caption="purchasing-power-parity-ppp"/>
    <measureGroup name="QualityofLife" caption="QualityofLife"/>
    <measureGroup name="Region" caption="Region"/>
  </measureGroups>
  <maps count="13">
    <map measureGroup="0" dimension="0"/>
    <map measureGroup="0" dimension="8"/>
    <map measureGroup="1" dimension="1"/>
    <map measureGroup="1" dimension="8"/>
    <map measureGroup="2" dimension="2"/>
    <map measureGroup="2" dimension="8"/>
    <map measureGroup="3" dimension="3"/>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62.413480439813" backgroundQuery="1" createdVersion="8" refreshedVersion="8" minRefreshableVersion="3" recordCount="0" supportSubquery="1" supportAdvancedDrill="1" xr:uid="{7E42F265-0ADB-481F-B3C2-38D0BCF2F5D1}">
  <cacheSource type="external" connectionId="3"/>
  <cacheFields count="4">
    <cacheField name="[QualityofLife].[Region of Residence].[Region of Residence]" caption="Region of Residence" numFmtId="0" hierarchy="41" level="1">
      <sharedItems count="5">
        <s v="Hong Kong"/>
        <s v="Kazakhstan"/>
        <s v="Pakistan"/>
        <s v="United States"/>
        <s v="Vietnam"/>
      </sharedItems>
    </cacheField>
    <cacheField name="[Measures].[Sum of Property price to income ratio]" caption="Sum of Property price to income ratio" numFmtId="0" hierarchy="79" level="32767"/>
    <cacheField name="[Measures].[Sum of GDP per capita]" caption="Sum of GDP per capita" numFmtId="0" hierarchy="80" level="32767"/>
    <cacheField name="[Region].[Region of Residence].[Region of Residence]" caption="Region of Residence" numFmtId="0" hierarchy="51" level="1">
      <sharedItems containsSemiMixedTypes="0" containsNonDate="0" containsString="0"/>
    </cacheField>
  </cacheFields>
  <cacheHierarchies count="86">
    <cacheHierarchy uniqueName="[BusinessEnvironment].[Region of Residence]" caption="Region of Residence" attribute="1" defaultMemberUniqueName="[BusinessEnvironment].[Region of Residence].[All]" allUniqueName="[BusinessEnvironment].[Region of Residence].[All]" dimensionUniqueName="[BusinessEnvironment]" displayFolder="" count="0" memberValueDatatype="130" unbalanced="0"/>
    <cacheHierarchy uniqueName="[BusinessEnvironment].[Ease of doing business Index]" caption="Ease of doing business Index" attribute="1" defaultMemberUniqueName="[BusinessEnvironment].[Ease of doing business Index].[All]" allUniqueName="[BusinessEnvironment].[Ease of doing business Index].[All]" dimensionUniqueName="[BusinessEnvironment]" displayFolder="" count="0" memberValueDatatype="5" unbalanced="0"/>
    <cacheHierarchy uniqueName="[BusinessEnvironment].[Corporate Tax rates]" caption="Corporate Tax rates" attribute="1" defaultMemberUniqueName="[BusinessEnvironment].[Corporate Tax rates].[All]" allUniqueName="[BusinessEnvironment].[Corporate Tax rates].[All]" dimensionUniqueName="[BusinessEnvironment]" displayFolder="" count="0" memberValueDatatype="5" unbalanced="0"/>
    <cacheHierarchy uniqueName="[BusinessEnvironment].[Innovation Ranking]" caption="Innovation Ranking" attribute="1" defaultMemberUniqueName="[BusinessEnvironment].[Innovation Ranking].[All]" allUniqueName="[BusinessEnvironment].[Innovation Ranking].[All]" dimensionUniqueName="[BusinessEnvironment]" displayFolder="" count="0" memberValueDatatype="20" unbalanced="0"/>
    <cacheHierarchy uniqueName="[BusinessEnvironment].[Corruption Index]" caption="Corruption Index" attribute="1" defaultMemberUniqueName="[BusinessEnvironment].[Corruption Index].[All]" allUniqueName="[BusinessEnvironment].[Corruption Index].[All]" dimensionUniqueName="[BusinessEnvironment]" displayFolder="" count="0" memberValueDatatype="20" unbalanced="0"/>
    <cacheHierarchy uniqueName="[BusinessEnvironment].[Intellectual Property Protection Index]" caption="Intellectual Property Protection Index" attribute="1" defaultMemberUniqueName="[BusinessEnvironment].[Intellectual Property Protection Index].[All]" allUniqueName="[BusinessEnvironment].[Intellectual Property Protection Index].[All]" dimensionUniqueName="[BusinessEnvironment]" displayFolder="" count="0" memberValueDatatype="5" unbalanced="0"/>
    <cacheHierarchy uniqueName="[BusinessEnvironment].[Stock Market Cap (Million)]" caption="Stock Market Cap (Million)" attribute="1" defaultMemberUniqueName="[BusinessEnvironment].[Stock Market Cap (Million)].[All]" allUniqueName="[BusinessEnvironment].[Stock Market Cap (Million)].[All]" dimensionUniqueName="[BusinessEnvironment]" displayFolder="" count="0" memberValueDatatype="20" unbalanced="0"/>
    <cacheHierarchy uniqueName="[BusinessEnvironment].[Median Income]" caption="Median Income" attribute="1" defaultMemberUniqueName="[BusinessEnvironment].[Median Income].[All]" allUniqueName="[BusinessEnvironment].[Median Income].[All]" dimensionUniqueName="[BusinessEnvironment]" displayFolder="" count="0" memberValueDatatype="20" unbalanced="0"/>
    <cacheHierarchy uniqueName="[BusinessEnvironment].[Transportation Index]" caption="Transportation Index" attribute="1" defaultMemberUniqueName="[BusinessEnvironment].[Transportation Index].[All]" allUniqueName="[BusinessEnvironment].[Transportation Index].[All]" dimensionUniqueName="[BusinessEnvironment]" displayFolder="" count="0" memberValueDatatype="5" unbalanced="0"/>
    <cacheHierarchy uniqueName="[Cost].[Region of Residence]" caption="Region of Residence" attribute="1" defaultMemberUniqueName="[Cost].[Region of Residence].[All]" allUniqueName="[Cost].[Region of Residence].[All]" dimensionUniqueName="[Cost]" displayFolder="" count="0" memberValueDatatype="130" unbalanced="0"/>
    <cacheHierarchy uniqueName="[Cost].[Housing Price to Income Ratio]" caption="Housing Price to Income Ratio" attribute="1" defaultMemberUniqueName="[Cost].[Housing Price to Income Ratio].[All]" allUniqueName="[Cost].[Housing Price to Income Ratio].[All]" dimensionUniqueName="[Cost]" displayFolder="" count="0" memberValueDatatype="5" unbalanced="0"/>
    <cacheHierarchy uniqueName="[Cost].[Food]" caption="Food" attribute="1" defaultMemberUniqueName="[Cost].[Food].[All]" allUniqueName="[Cost].[Food].[All]" dimensionUniqueName="[Cost]" displayFolder="" count="0" memberValueDatatype="5" unbalanced="0"/>
    <cacheHierarchy uniqueName="[Cost].[Transportation (One way bus fare)]" caption="Transportation (One way bus fare)" attribute="1" defaultMemberUniqueName="[Cost].[Transportation (One way bus fare)].[All]" allUniqueName="[Cost].[Transportation (One way bus fare)].[All]" dimensionUniqueName="[Cost]" displayFolder="" count="0" memberValueDatatype="5" unbalanced="0"/>
    <cacheHierarchy uniqueName="[Cost].[Healthcare]" caption="Healthcare" attribute="1" defaultMemberUniqueName="[Cost].[Healthcare].[All]" allUniqueName="[Cost].[Healthcare].[All]" dimensionUniqueName="[Cost]" displayFolder="" count="0" memberValueDatatype="5" unbalanced="0"/>
    <cacheHierarchy uniqueName="[Cost].[Education]" caption="Education" attribute="1" defaultMemberUniqueName="[Cost].[Education].[All]" allUniqueName="[Cost].[Education].[All]" dimensionUniqueName="[Cost]" displayFolder="" count="0" memberValueDatatype="5" unbalanced="0"/>
    <cacheHierarchy uniqueName="[Cost].[Inflation Rates]" caption="Inflation Rates" attribute="1" defaultMemberUniqueName="[Cost].[Inflation Rates].[All]" allUniqueName="[Cost].[Inflation Rates].[All]" dimensionUniqueName="[Cost]" displayFolder="" count="0" memberValueDatatype="5" unbalanced="0"/>
    <cacheHierarchy uniqueName="[Cost].[Currency Purchasing Power]" caption="Currency Purchasing Power" attribute="1" defaultMemberUniqueName="[Cost].[Currency Purchasing Power].[All]" allUniqueName="[Cost].[Currency Purchasing Power].[All]" dimensionUniqueName="[Cost]" displayFolder="" count="0" memberValueDatatype="5" unbalanced="0"/>
    <cacheHierarchy uniqueName="[Cost].[Average Personal Income Tax Rates]" caption="Average Personal Income Tax Rates" attribute="1" defaultMemberUniqueName="[Cost].[Average Personal Income Tax Rates].[All]" allUniqueName="[Cost].[Average Personal Income Tax Rates].[All]" dimensionUniqueName="[Cost]" displayFolder="" count="0" memberValueDatatype="5" unbalanced="0"/>
    <cacheHierarchy uniqueName="[Cost].[Cost of a Vacation (A week)]" caption="Cost of a Vacation (A week)" attribute="1" defaultMemberUniqueName="[Cost].[Cost of a Vacation (A week)].[All]" allUniqueName="[Cost].[Cost of a Vacation (A week)].[All]" dimensionUniqueName="[Cost]" displayFolder="" count="0" memberValueDatatype="20" unbalanced="0"/>
    <cacheHierarchy uniqueName="[Healthcare].[Region of Residence]" caption="Region of Residence" attribute="1" defaultMemberUniqueName="[Healthcare].[Region of Residence].[All]" allUniqueName="[Healthcare].[Region of Residence].[All]" dimensionUniqueName="[Healthcare]" displayFolder="" count="0" memberValueDatatype="130" unbalanced="0"/>
    <cacheHierarchy uniqueName="[Healthcare].[Physician Density (per 1000 people)]" caption="Physician Density (per 1000 people)" attribute="1" defaultMemberUniqueName="[Healthcare].[Physician Density (per 1000 people)].[All]" allUniqueName="[Healthcare].[Physician Density (per 1000 people)].[All]" dimensionUniqueName="[Healthcare]" displayFolder="" count="0" memberValueDatatype="5" unbalanced="0"/>
    <cacheHierarchy uniqueName="[Healthcare].[Hospital Bed Density]" caption="Hospital Bed Density" attribute="1" defaultMemberUniqueName="[Healthcare].[Hospital Bed Density].[All]" allUniqueName="[Healthcare].[Hospital Bed Density].[All]" dimensionUniqueName="[Healthcare]" displayFolder="" count="0" memberValueDatatype="5" unbalanced="0"/>
    <cacheHierarchy uniqueName="[Healthcare].[Health Insurance Coverage]" caption="Health Insurance Coverage" attribute="1" defaultMemberUniqueName="[Healthcare].[Health Insurance Coverage].[All]" allUniqueName="[Healthcare].[Health Insurance Coverage].[All]" dimensionUniqueName="[Healthcare]" displayFolder="" count="0" memberValueDatatype="5" unbalanced="0"/>
    <cacheHierarchy uniqueName="[Healthcare].[Doctors (per 10000)]" caption="Doctors (per 10000)" attribute="1" defaultMemberUniqueName="[Healthcare].[Doctors (per 10000)].[All]" allUniqueName="[Healthcare].[Doctors (per 10000)].[All]" dimensionUniqueName="[Healthcare]" displayFolder="" count="0" memberValueDatatype="5" unbalanced="0"/>
    <cacheHierarchy uniqueName="[Healthcare].[Health Care Index]" caption="Health Care Index" attribute="1" defaultMemberUniqueName="[Healthcare].[Health Care Index].[All]" allUniqueName="[Healthcare].[Health Care Index].[All]" dimensionUniqueName="[Healthcare]" displayFolder="" count="0" memberValueDatatype="5" unbalanced="0"/>
    <cacheHierarchy uniqueName="[Healthcare].[Pollution Index]" caption="Pollution Index" attribute="1" defaultMemberUniqueName="[Healthcare].[Pollution Index].[All]" allUniqueName="[Healthcare].[Pollution Index].[All]" dimensionUniqueName="[Healthcare]" displayFolder="" count="0" memberValueDatatype="5" unbalanced="0"/>
    <cacheHierarchy uniqueName="[Healthcare].[Healthcare Access and Quality]" caption="Healthcare Access and Quality" attribute="1" defaultMemberUniqueName="[Healthcare].[Healthcare Access and Quality].[All]" allUniqueName="[Healthcare].[Healthcare Access and Quality].[All]" dimensionUniqueName="[Healthcare]" displayFolder="" count="0" memberValueDatatype="5" unbalanced="0"/>
    <cacheHierarchy uniqueName="[Internet].[Region of Residence]" caption="Region of Residence" attribute="1" defaultMemberUniqueName="[Internet].[Region of Residence].[All]" allUniqueName="[Internet].[Region of Residence].[All]" dimensionUniqueName="[Internet]" displayFolder="" count="0" memberValueDatatype="130" unbalanced="0"/>
    <cacheHierarchy uniqueName="[Internet].[Internet Speed (Mbps)]" caption="Internet Speed (Mbps)" attribute="1" defaultMemberUniqueName="[Internet].[Internet Speed (Mbps)].[All]" allUniqueName="[Internet].[Internet Speed (Mbps)].[All]" dimensionUniqueName="[Internet]" displayFolder="" count="0" memberValueDatatype="5" unbalanced="0"/>
    <cacheHierarchy uniqueName="[Internet].[Cost per Mbps]" caption="Cost per Mbps" attribute="1" defaultMemberUniqueName="[Internet].[Cost per Mbps].[All]" allUniqueName="[Internet].[Cost per Mbps].[All]" dimensionUniqueName="[Internet]" displayFolder="" count="0" memberValueDatatype="5" unbalanced="0"/>
    <cacheHierarchy uniqueName="[Internet].[Internet Penetration Rate]" caption="Internet Penetration Rate" attribute="1" defaultMemberUniqueName="[Internet].[Internet Penetration Rate].[All]" allUniqueName="[Internet].[Internet Penetration Rate].[All]" dimensionUniqueName="[Internet]" displayFolder="" count="0" memberValueDatatype="5" unbalanced="0"/>
    <cacheHierarchy uniqueName="[Internet].[Internet Censorship Index]" caption="Internet Censorship Index" attribute="1" defaultMemberUniqueName="[Internet].[Internet Censorship Index].[All]" allUniqueName="[Internet].[Internet Censorship Index].[All]" dimensionUniqueName="[Internet]" displayFolder="" count="0" memberValueDatatype="20" unbalanced="0"/>
    <cacheHierarchy uniqueName="[Internet].[Cybersecurity Index]" caption="Cybersecurity Index" attribute="1" defaultMemberUniqueName="[Internet].[Cybersecurity Index].[All]" allUniqueName="[Internet].[Cybersecurity Index].[All]" dimensionUniqueName="[Internet]" displayFolder="" count="0" memberValueDatatype="5" unbalanced="0"/>
    <cacheHierarchy uniqueName="[purchasing_power_parity_ppp].[Country]" caption="Country" attribute="1" defaultMemberUniqueName="[purchasing_power_parity_ppp].[Country].[All]" allUniqueName="[purchasing_power_parity_ppp].[Country].[All]" dimensionUniqueName="[purchasing_power_parity_ppp]" displayFolder="" count="0" memberValueDatatype="130" unbalanced="0"/>
    <cacheHierarchy uniqueName="[purchasing_power_parity_ppp].[Indicator Name]" caption="Indicator Name" attribute="1" defaultMemberUniqueName="[purchasing_power_parity_ppp].[Indicator Name].[All]" allUniqueName="[purchasing_power_parity_ppp].[Indicator Name].[All]" dimensionUniqueName="[purchasing_power_parity_ppp]" displayFolder="" count="0" memberValueDatatype="130" unbalanced="0"/>
    <cacheHierarchy uniqueName="[purchasing_power_parity_ppp].[Year]" caption="Year" attribute="1" defaultMemberUniqueName="[purchasing_power_parity_ppp].[Year].[All]" allUniqueName="[purchasing_power_parity_ppp].[Year].[All]" dimensionUniqueName="[purchasing_power_parity_ppp]" displayFolder="" count="0" memberValueDatatype="20" unbalanced="0"/>
    <cacheHierarchy uniqueName="[purchasing_power_parity_ppp].[PPP]" caption="PPP" attribute="1" defaultMemberUniqueName="[purchasing_power_parity_ppp].[PPP].[All]" allUniqueName="[purchasing_power_parity_ppp].[PPP].[All]" dimensionUniqueName="[purchasing_power_parity_ppp]" displayFolder="" count="0" memberValueDatatype="5" unbalanced="0"/>
    <cacheHierarchy uniqueName="[purchasing-power-parity-ppp].[Country]" caption="Country" attribute="1" defaultMemberUniqueName="[purchasing-power-parity-ppp].[Country].[All]" allUniqueName="[purchasing-power-parity-ppp].[Country].[All]" dimensionUniqueName="[purchasing-power-parity-ppp]" displayFolder="" count="0" memberValueDatatype="130" unbalanced="0"/>
    <cacheHierarchy uniqueName="[purchasing-power-parity-ppp].[Indicator Name]" caption="Indicator Name" attribute="1" defaultMemberUniqueName="[purchasing-power-parity-ppp].[Indicator Name].[All]" allUniqueName="[purchasing-power-parity-ppp].[Indicator Name].[All]" dimensionUniqueName="[purchasing-power-parity-ppp]" displayFolder="" count="0" memberValueDatatype="130" unbalanced="0"/>
    <cacheHierarchy uniqueName="[purchasing-power-parity-ppp].[Year]" caption="Year" attribute="1" defaultMemberUniqueName="[purchasing-power-parity-ppp].[Year].[All]" allUniqueName="[purchasing-power-parity-ppp].[Year].[All]" dimensionUniqueName="[purchasing-power-parity-ppp]" displayFolder="" count="0" memberValueDatatype="20" unbalanced="0"/>
    <cacheHierarchy uniqueName="[purchasing-power-parity-ppp].[PPP]" caption="PPP" attribute="1" defaultMemberUniqueName="[purchasing-power-parity-ppp].[PPP].[All]" allUniqueName="[purchasing-power-parity-ppp].[PPP].[All]" dimensionUniqueName="[purchasing-power-parity-ppp]" displayFolder="" count="0" memberValueDatatype="5" unbalanced="0"/>
    <cacheHierarchy uniqueName="[QualityofLife].[Region of Residence]" caption="Region of Residence" attribute="1" defaultMemberUniqueName="[QualityofLife].[Region of Residence].[All]" allUniqueName="[QualityofLife].[Region of Residence].[All]" dimensionUniqueName="[QualityofLife]" displayFolder="" count="2" memberValueDatatype="130" unbalanced="0">
      <fieldsUsage count="2">
        <fieldUsage x="-1"/>
        <fieldUsage x="0"/>
      </fieldsUsage>
    </cacheHierarchy>
    <cacheHierarchy uniqueName="[QualityofLife].[Life Expectancy]" caption="Life Expectancy" attribute="1" defaultMemberUniqueName="[QualityofLife].[Life Expectancy].[All]" allUniqueName="[QualityofLife].[Life Expectancy].[All]" dimensionUniqueName="[QualityofLife]" displayFolder="" count="0" memberValueDatatype="5" unbalanced="0"/>
    <cacheHierarchy uniqueName="[QualityofLife].[Education Index (Literacy or school enrollment)]" caption="Education Index (Literacy or school enrollment)" attribute="1" defaultMemberUniqueName="[QualityofLife].[Education Index (Literacy or school enrollment)].[All]" allUniqueName="[QualityofLife].[Education Index (Literacy or school enrollment)].[All]" dimensionUniqueName="[QualityofLife]" displayFolder="" count="0" memberValueDatatype="5" unbalanced="0"/>
    <cacheHierarchy uniqueName="[QualityofLife].[GDP per capita]" caption="GDP per capita" attribute="1" defaultMemberUniqueName="[QualityofLife].[GDP per capita].[All]" allUniqueName="[QualityofLife].[GDP per capita].[All]" dimensionUniqueName="[QualityofLife]" displayFolder="" count="0" memberValueDatatype="20" unbalanced="0"/>
    <cacheHierarchy uniqueName="[QualityofLife].[Safety Rate]" caption="Safety Rate" attribute="1" defaultMemberUniqueName="[QualityofLife].[Safety Rate].[All]" allUniqueName="[QualityofLife].[Safety Rate].[All]" dimensionUniqueName="[QualityofLife]" displayFolder="" count="0" memberValueDatatype="5" unbalanced="0"/>
    <cacheHierarchy uniqueName="[QualityofLife].[Pollution Index]" caption="Pollution Index" attribute="1" defaultMemberUniqueName="[QualityofLife].[Pollution Index].[All]" allUniqueName="[QualityofLife].[Pollution Index].[All]" dimensionUniqueName="[QualityofLife]" displayFolder="" count="0" memberValueDatatype="5" unbalanced="0"/>
    <cacheHierarchy uniqueName="[QualityofLife].[Climate Index]" caption="Climate Index" attribute="1" defaultMemberUniqueName="[QualityofLife].[Climate Index].[All]" allUniqueName="[QualityofLife].[Climate Index].[All]" dimensionUniqueName="[QualityofLife]" displayFolder="" count="0" memberValueDatatype="5" unbalanced="0"/>
    <cacheHierarchy uniqueName="[QualityofLife].[Property price to income ratio]" caption="Property price to income ratio" attribute="1" defaultMemberUniqueName="[QualityofLife].[Property price to income ratio].[All]" allUniqueName="[QualityofLife].[Property price to income ratio].[All]" dimensionUniqueName="[QualityofLife]" displayFolder="" count="0" memberValueDatatype="5" unbalanced="0"/>
    <cacheHierarchy uniqueName="[QualityofLife].[Traffic commute time index]" caption="Traffic commute time index" attribute="1" defaultMemberUniqueName="[QualityofLife].[Traffic commute time index].[All]" allUniqueName="[QualityofLife].[Traffic commute time index].[All]" dimensionUniqueName="[QualityofLife]" displayFolder="" count="0" memberValueDatatype="5" unbalanced="0"/>
    <cacheHierarchy uniqueName="[QualityofLife].[Personal Freedom and Human Rights]" caption="Personal Freedom and Human Rights" attribute="1" defaultMemberUniqueName="[QualityofLife].[Personal Freedom and Human Rights].[All]" allUniqueName="[QualityofLife].[Personal Freedom and Human Rights].[All]" dimensionUniqueName="[QualityofLife]" displayFolder="" count="0" memberValueDatatype="5" unbalanced="0"/>
    <cacheHierarchy uniqueName="[Region].[Region of Residence]" caption="Region of Residence" attribute="1" defaultMemberUniqueName="[Region].[Region of Residence].[All]" allUniqueName="[Region].[Region of Residence].[All]" dimensionUniqueName="[Region]" displayFolder="" count="2" memberValueDatatype="130" unbalanced="0">
      <fieldsUsage count="2">
        <fieldUsage x="-1"/>
        <fieldUsage x="3"/>
      </fieldsUsage>
    </cacheHierarchy>
    <cacheHierarchy uniqueName="[Measures].[__XL_Count BusinessEnvironment]" caption="__XL_Count BusinessEnvironment" measure="1" displayFolder="" measureGroup="BusinessEnvironment" count="0" hidden="1"/>
    <cacheHierarchy uniqueName="[Measures].[__XL_Count Cost]" caption="__XL_Count Cost" measure="1" displayFolder="" measureGroup="Cost" count="0" hidden="1"/>
    <cacheHierarchy uniqueName="[Measures].[__XL_Count Healthcare]" caption="__XL_Count Healthcare" measure="1" displayFolder="" measureGroup="Healthcare" count="0" hidden="1"/>
    <cacheHierarchy uniqueName="[Measures].[__XL_Count Internet]" caption="__XL_Count Internet" measure="1" displayFolder="" measureGroup="Internet" count="0" hidden="1"/>
    <cacheHierarchy uniqueName="[Measures].[__XL_Count QualityofLife]" caption="__XL_Count QualityofLife" measure="1" displayFolder="" measureGroup="QualityofLife" count="0" hidden="1"/>
    <cacheHierarchy uniqueName="[Measures].[__XL_Count Region]" caption="__XL_Count Region" measure="1" displayFolder="" measureGroup="Region" count="0" hidden="1"/>
    <cacheHierarchy uniqueName="[Measures].[__XL_Count purchasing-power-parity-ppp]" caption="__XL_Count purchasing-power-parity-ppp" measure="1" displayFolder="" measureGroup="purchasing-power-parity-ppp" count="0" hidden="1"/>
    <cacheHierarchy uniqueName="[Measures].[__XL_Count purchasing_power_parity_ppp]" caption="__XL_Count purchasing_power_parity_ppp" measure="1" displayFolder="" measureGroup="purchasing_power_parity_ppp" count="0" hidden="1"/>
    <cacheHierarchy uniqueName="[Measures].[__No measures defined]" caption="__No measures defined" measure="1" displayFolder="" count="0" hidden="1"/>
    <cacheHierarchy uniqueName="[Measures].[Sum of Healthcare]" caption="Sum of Healthcare" measure="1" displayFolder="" measureGroup="Cost" count="0" hidden="1">
      <extLst>
        <ext xmlns:x15="http://schemas.microsoft.com/office/spreadsheetml/2010/11/main" uri="{B97F6D7D-B522-45F9-BDA1-12C45D357490}">
          <x15:cacheHierarchy aggregatedColumn="13"/>
        </ext>
      </extLst>
    </cacheHierarchy>
    <cacheHierarchy uniqueName="[Measures].[Sum of Corruption Index]" caption="Sum of Corruption Index" measure="1" displayFolder="" measureGroup="BusinessEnvironment" count="0" hidden="1">
      <extLst>
        <ext xmlns:x15="http://schemas.microsoft.com/office/spreadsheetml/2010/11/main" uri="{B97F6D7D-B522-45F9-BDA1-12C45D357490}">
          <x15:cacheHierarchy aggregatedColumn="4"/>
        </ext>
      </extLst>
    </cacheHierarchy>
    <cacheHierarchy uniqueName="[Measures].[Sum of Intellectual Property Protection Index]" caption="Sum of Intellectual Property Protection Index" measure="1" displayFolder="" measureGroup="BusinessEnvironment" count="0" hidden="1">
      <extLst>
        <ext xmlns:x15="http://schemas.microsoft.com/office/spreadsheetml/2010/11/main" uri="{B97F6D7D-B522-45F9-BDA1-12C45D357490}">
          <x15:cacheHierarchy aggregatedColumn="5"/>
        </ext>
      </extLst>
    </cacheHierarchy>
    <cacheHierarchy uniqueName="[Measures].[Sum of Stock Market Cap (Million)]" caption="Sum of Stock Market Cap (Million)" measure="1" displayFolder="" measureGroup="BusinessEnvironment" count="0" hidden="1">
      <extLst>
        <ext xmlns:x15="http://schemas.microsoft.com/office/spreadsheetml/2010/11/main" uri="{B97F6D7D-B522-45F9-BDA1-12C45D357490}">
          <x15:cacheHierarchy aggregatedColumn="6"/>
        </ext>
      </extLst>
    </cacheHierarchy>
    <cacheHierarchy uniqueName="[Measures].[Sum of Internet Penetration Rate]" caption="Sum of Internet Penetration Rate" measure="1" displayFolder="" measureGroup="Internet" count="0" hidden="1"/>
    <cacheHierarchy uniqueName="[Measures].[Sum of Cost per Mbps]" caption="Sum of Cost per Mbps" measure="1" displayFolder="" measureGroup="Internet" count="0" hidden="1">
      <extLst>
        <ext xmlns:x15="http://schemas.microsoft.com/office/spreadsheetml/2010/11/main" uri="{B97F6D7D-B522-45F9-BDA1-12C45D357490}">
          <x15:cacheHierarchy aggregatedColumn="29"/>
        </ext>
      </extLst>
    </cacheHierarchy>
    <cacheHierarchy uniqueName="[Measures].[Sum of Hospital Bed Density]" caption="Sum of Hospital Bed Density" measure="1" displayFolder="" measureGroup="Healthcare" count="0" hidden="1"/>
    <cacheHierarchy uniqueName="[Measures].[Sum of Doctors (per 10000)]" caption="Sum of Doctors (per 10000)" measure="1" displayFolder="" measureGroup="Healthcare" count="0" hidden="1">
      <extLst>
        <ext xmlns:x15="http://schemas.microsoft.com/office/spreadsheetml/2010/11/main" uri="{B97F6D7D-B522-45F9-BDA1-12C45D357490}">
          <x15:cacheHierarchy aggregatedColumn="23"/>
        </ext>
      </extLst>
    </cacheHierarchy>
    <cacheHierarchy uniqueName="[Measures].[Sum of Education]" caption="Sum of Education" measure="1" displayFolder="" measureGroup="Cost" count="0" hidden="1">
      <extLst>
        <ext xmlns:x15="http://schemas.microsoft.com/office/spreadsheetml/2010/11/main" uri="{B97F6D7D-B522-45F9-BDA1-12C45D357490}">
          <x15:cacheHierarchy aggregatedColumn="14"/>
        </ext>
      </extLst>
    </cacheHierarchy>
    <cacheHierarchy uniqueName="[Measures].[Sum of Climate Index]" caption="Sum of Climate Index" measure="1" displayFolder="" measureGroup="QualityofLife" count="0" hidden="1">
      <extLst>
        <ext xmlns:x15="http://schemas.microsoft.com/office/spreadsheetml/2010/11/main" uri="{B97F6D7D-B522-45F9-BDA1-12C45D357490}">
          <x15:cacheHierarchy aggregatedColumn="47"/>
        </ext>
      </extLst>
    </cacheHierarchy>
    <cacheHierarchy uniqueName="[Measures].[Sum of Median Income]" caption="Sum of Median Income" measure="1" displayFolder="" measureGroup="BusinessEnvironment" count="0" hidden="1">
      <extLst>
        <ext xmlns:x15="http://schemas.microsoft.com/office/spreadsheetml/2010/11/main" uri="{B97F6D7D-B522-45F9-BDA1-12C45D357490}">
          <x15:cacheHierarchy aggregatedColumn="7"/>
        </ext>
      </extLst>
    </cacheHierarchy>
    <cacheHierarchy uniqueName="[Measures].[Sum of Transportation Index]" caption="Sum of Transportation Index" measure="1" displayFolder="" measureGroup="BusinessEnvironment" count="0" hidden="1">
      <extLst>
        <ext xmlns:x15="http://schemas.microsoft.com/office/spreadsheetml/2010/11/main" uri="{B97F6D7D-B522-45F9-BDA1-12C45D357490}">
          <x15:cacheHierarchy aggregatedColumn="8"/>
        </ext>
      </extLst>
    </cacheHierarchy>
    <cacheHierarchy uniqueName="[Measures].[Sum of Healthcare Access and Quality]" caption="Sum of Healthcare Access and Quality" measure="1" displayFolder="" measureGroup="Healthcare" count="0" hidden="1">
      <extLst>
        <ext xmlns:x15="http://schemas.microsoft.com/office/spreadsheetml/2010/11/main" uri="{B97F6D7D-B522-45F9-BDA1-12C45D357490}">
          <x15:cacheHierarchy aggregatedColumn="26"/>
        </ext>
      </extLst>
    </cacheHierarchy>
    <cacheHierarchy uniqueName="[Measures].[Sum of Internet Speed (Mbps)]" caption="Sum of Internet Speed (Mbps)" measure="1" displayFolder="" measureGroup="Internet" count="0" hidden="1">
      <extLst>
        <ext xmlns:x15="http://schemas.microsoft.com/office/spreadsheetml/2010/11/main" uri="{B97F6D7D-B522-45F9-BDA1-12C45D357490}">
          <x15:cacheHierarchy aggregatedColumn="28"/>
        </ext>
      </extLst>
    </cacheHierarchy>
    <cacheHierarchy uniqueName="[Measures].[Sum of Corporate Tax rates]" caption="Sum of Corporate Tax rates" measure="1" displayFolder="" measureGroup="BusinessEnvironment" count="0" hidden="1">
      <extLst>
        <ext xmlns:x15="http://schemas.microsoft.com/office/spreadsheetml/2010/11/main" uri="{B97F6D7D-B522-45F9-BDA1-12C45D357490}">
          <x15:cacheHierarchy aggregatedColumn="2"/>
        </ext>
      </extLst>
    </cacheHierarchy>
    <cacheHierarchy uniqueName="[Measures].[Sum of Education Index (Literacy or school enrollment)]" caption="Sum of Education Index (Literacy or school enrollment)" measure="1" displayFolder="" measureGroup="QualityofLife" count="0" hidden="1">
      <extLst>
        <ext xmlns:x15="http://schemas.microsoft.com/office/spreadsheetml/2010/11/main" uri="{B97F6D7D-B522-45F9-BDA1-12C45D357490}">
          <x15:cacheHierarchy aggregatedColumn="43"/>
        </ext>
      </extLst>
    </cacheHierarchy>
    <cacheHierarchy uniqueName="[Measures].[Sum of Housing Price to Income Ratio]" caption="Sum of Housing Price to Income Ratio" measure="1" displayFolder="" measureGroup="Cost" count="0" hidden="1">
      <extLst>
        <ext xmlns:x15="http://schemas.microsoft.com/office/spreadsheetml/2010/11/main" uri="{B97F6D7D-B522-45F9-BDA1-12C45D357490}">
          <x15:cacheHierarchy aggregatedColumn="10"/>
        </ext>
      </extLst>
    </cacheHierarchy>
    <cacheHierarchy uniqueName="[Measures].[Sum of Food]" caption="Sum of Food" measure="1" displayFolder="" measureGroup="Cost" count="0" hidden="1">
      <extLst>
        <ext xmlns:x15="http://schemas.microsoft.com/office/spreadsheetml/2010/11/main" uri="{B97F6D7D-B522-45F9-BDA1-12C45D357490}">
          <x15:cacheHierarchy aggregatedColumn="11"/>
        </ext>
      </extLst>
    </cacheHierarchy>
    <cacheHierarchy uniqueName="[Measures].[Sum of Property price to income ratio]" caption="Sum of Property price to income ratio" measure="1" displayFolder="" measureGroup="QualityofLife" count="0" oneField="1" hidden="1">
      <fieldsUsage count="1">
        <fieldUsage x="1"/>
      </fieldsUsage>
      <extLst>
        <ext xmlns:x15="http://schemas.microsoft.com/office/spreadsheetml/2010/11/main" uri="{B97F6D7D-B522-45F9-BDA1-12C45D357490}">
          <x15:cacheHierarchy aggregatedColumn="48"/>
        </ext>
      </extLst>
    </cacheHierarchy>
    <cacheHierarchy uniqueName="[Measures].[Sum of GDP per capita]" caption="Sum of GDP per capita" measure="1" displayFolder="" measureGroup="QualityofLife" count="0" oneField="1" hidden="1">
      <fieldsUsage count="1">
        <fieldUsage x="2"/>
      </fieldsUsage>
      <extLst>
        <ext xmlns:x15="http://schemas.microsoft.com/office/spreadsheetml/2010/11/main" uri="{B97F6D7D-B522-45F9-BDA1-12C45D357490}">
          <x15:cacheHierarchy aggregatedColumn="44"/>
        </ext>
      </extLst>
    </cacheHierarchy>
    <cacheHierarchy uniqueName="[Measures].[Sum of Innovation Ranking]" caption="Sum of Innovation Ranking" measure="1" displayFolder="" measureGroup="BusinessEnvironment" count="0" hidden="1">
      <extLst>
        <ext xmlns:x15="http://schemas.microsoft.com/office/spreadsheetml/2010/11/main" uri="{B97F6D7D-B522-45F9-BDA1-12C45D357490}">
          <x15:cacheHierarchy aggregatedColumn="3"/>
        </ext>
      </extLst>
    </cacheHierarchy>
    <cacheHierarchy uniqueName="[Measures].[Sum of Ease of doing business Index]" caption="Sum of Ease of doing business Index" measure="1" displayFolder="" measureGroup="BusinessEnvironment" count="0" hidden="1">
      <extLst>
        <ext xmlns:x15="http://schemas.microsoft.com/office/spreadsheetml/2010/11/main" uri="{B97F6D7D-B522-45F9-BDA1-12C45D357490}">
          <x15:cacheHierarchy aggregatedColumn="1"/>
        </ext>
      </extLst>
    </cacheHierarchy>
    <cacheHierarchy uniqueName="[Measures].[Sum of Health Insurance Coverage]" caption="Sum of Health Insurance Coverage" measure="1" displayFolder="" measureGroup="Healthcare" count="0" hidden="1">
      <extLst>
        <ext xmlns:x15="http://schemas.microsoft.com/office/spreadsheetml/2010/11/main" uri="{B97F6D7D-B522-45F9-BDA1-12C45D357490}">
          <x15:cacheHierarchy aggregatedColumn="22"/>
        </ext>
      </extLst>
    </cacheHierarchy>
    <cacheHierarchy uniqueName="[Measures].[Sum of PPP]" caption="Sum of PPP" measure="1" displayFolder="" measureGroup="purchasing_power_parity_ppp"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purchasing_power_parity_ppp" count="0" hidden="1">
      <extLst>
        <ext xmlns:x15="http://schemas.microsoft.com/office/spreadsheetml/2010/11/main" uri="{B97F6D7D-B522-45F9-BDA1-12C45D357490}">
          <x15:cacheHierarchy aggregatedColumn="35"/>
        </ext>
      </extLst>
    </cacheHierarchy>
  </cacheHierarchies>
  <kpis count="0"/>
  <dimensions count="9">
    <dimension name="BusinessEnvironment" uniqueName="[BusinessEnvironment]" caption="BusinessEnvironment"/>
    <dimension name="Cost" uniqueName="[Cost]" caption="Cost"/>
    <dimension name="Healthcare" uniqueName="[Healthcare]" caption="Healthcare"/>
    <dimension name="Internet" uniqueName="[Internet]" caption="Internet"/>
    <dimension measure="1" name="Measures" uniqueName="[Measures]" caption="Measures"/>
    <dimension name="purchasing_power_parity_ppp" uniqueName="[purchasing_power_parity_ppp]" caption="purchasing_power_parity_ppp"/>
    <dimension name="purchasing-power-parity-ppp" uniqueName="[purchasing-power-parity-ppp]" caption="purchasing-power-parity-ppp"/>
    <dimension name="QualityofLife" uniqueName="[QualityofLife]" caption="QualityofLife"/>
    <dimension name="Region" uniqueName="[Region]" caption="Region"/>
  </dimensions>
  <measureGroups count="8">
    <measureGroup name="BusinessEnvironment" caption="BusinessEnvironment"/>
    <measureGroup name="Cost" caption="Cost"/>
    <measureGroup name="Healthcare" caption="Healthcare"/>
    <measureGroup name="Internet" caption="Internet"/>
    <measureGroup name="purchasing_power_parity_ppp" caption="purchasing_power_parity_ppp"/>
    <measureGroup name="purchasing-power-parity-ppp" caption="purchasing-power-parity-ppp"/>
    <measureGroup name="QualityofLife" caption="QualityofLife"/>
    <measureGroup name="Region" caption="Region"/>
  </measureGroups>
  <maps count="13">
    <map measureGroup="0" dimension="0"/>
    <map measureGroup="0" dimension="8"/>
    <map measureGroup="1" dimension="1"/>
    <map measureGroup="1" dimension="8"/>
    <map measureGroup="2" dimension="2"/>
    <map measureGroup="2" dimension="8"/>
    <map measureGroup="3" dimension="3"/>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62.413482060183" backgroundQuery="1" createdVersion="8" refreshedVersion="8" minRefreshableVersion="3" recordCount="0" supportSubquery="1" supportAdvancedDrill="1" xr:uid="{8E448571-602A-4CCA-B284-BD2325AD0AB8}">
  <cacheSource type="external" connectionId="3"/>
  <cacheFields count="3">
    <cacheField name="[BusinessEnvironment].[Region of Residence].[Region of Residence]" caption="Region of Residence" numFmtId="0" level="1">
      <sharedItems count="5">
        <s v="Hong Kong"/>
        <s v="Kazakhstan"/>
        <s v="Pakistan"/>
        <s v="United States"/>
        <s v="Vietnam"/>
      </sharedItems>
    </cacheField>
    <cacheField name="[Measures].[Sum of Ease of doing business Index]" caption="Sum of Ease of doing business Index" numFmtId="0" hierarchy="82" level="32767"/>
    <cacheField name="[Region].[Region of Residence].[Region of Residence]" caption="Region of Residence" numFmtId="0" hierarchy="51" level="1">
      <sharedItems containsSemiMixedTypes="0" containsNonDate="0" containsString="0"/>
    </cacheField>
  </cacheFields>
  <cacheHierarchies count="86">
    <cacheHierarchy uniqueName="[BusinessEnvironment].[Region of Residence]" caption="Region of Residence" attribute="1" defaultMemberUniqueName="[BusinessEnvironment].[Region of Residence].[All]" allUniqueName="[BusinessEnvironment].[Region of Residence].[All]" dimensionUniqueName="[BusinessEnvironment]" displayFolder="" count="2" memberValueDatatype="130" unbalanced="0">
      <fieldsUsage count="2">
        <fieldUsage x="-1"/>
        <fieldUsage x="0"/>
      </fieldsUsage>
    </cacheHierarchy>
    <cacheHierarchy uniqueName="[BusinessEnvironment].[Ease of doing business Index]" caption="Ease of doing business Index" attribute="1" defaultMemberUniqueName="[BusinessEnvironment].[Ease of doing business Index].[All]" allUniqueName="[BusinessEnvironment].[Ease of doing business Index].[All]" dimensionUniqueName="[BusinessEnvironment]" displayFolder="" count="0" memberValueDatatype="5" unbalanced="0"/>
    <cacheHierarchy uniqueName="[BusinessEnvironment].[Corporate Tax rates]" caption="Corporate Tax rates" attribute="1" defaultMemberUniqueName="[BusinessEnvironment].[Corporate Tax rates].[All]" allUniqueName="[BusinessEnvironment].[Corporate Tax rates].[All]" dimensionUniqueName="[BusinessEnvironment]" displayFolder="" count="0" memberValueDatatype="5" unbalanced="0"/>
    <cacheHierarchy uniqueName="[BusinessEnvironment].[Innovation Ranking]" caption="Innovation Ranking" attribute="1" defaultMemberUniqueName="[BusinessEnvironment].[Innovation Ranking].[All]" allUniqueName="[BusinessEnvironment].[Innovation Ranking].[All]" dimensionUniqueName="[BusinessEnvironment]" displayFolder="" count="0" memberValueDatatype="20" unbalanced="0"/>
    <cacheHierarchy uniqueName="[BusinessEnvironment].[Corruption Index]" caption="Corruption Index" attribute="1" defaultMemberUniqueName="[BusinessEnvironment].[Corruption Index].[All]" allUniqueName="[BusinessEnvironment].[Corruption Index].[All]" dimensionUniqueName="[BusinessEnvironment]" displayFolder="" count="0" memberValueDatatype="20" unbalanced="0"/>
    <cacheHierarchy uniqueName="[BusinessEnvironment].[Intellectual Property Protection Index]" caption="Intellectual Property Protection Index" attribute="1" defaultMemberUniqueName="[BusinessEnvironment].[Intellectual Property Protection Index].[All]" allUniqueName="[BusinessEnvironment].[Intellectual Property Protection Index].[All]" dimensionUniqueName="[BusinessEnvironment]" displayFolder="" count="0" memberValueDatatype="5" unbalanced="0"/>
    <cacheHierarchy uniqueName="[BusinessEnvironment].[Stock Market Cap (Million)]" caption="Stock Market Cap (Million)" attribute="1" defaultMemberUniqueName="[BusinessEnvironment].[Stock Market Cap (Million)].[All]" allUniqueName="[BusinessEnvironment].[Stock Market Cap (Million)].[All]" dimensionUniqueName="[BusinessEnvironment]" displayFolder="" count="0" memberValueDatatype="20" unbalanced="0"/>
    <cacheHierarchy uniqueName="[BusinessEnvironment].[Median Income]" caption="Median Income" attribute="1" defaultMemberUniqueName="[BusinessEnvironment].[Median Income].[All]" allUniqueName="[BusinessEnvironment].[Median Income].[All]" dimensionUniqueName="[BusinessEnvironment]" displayFolder="" count="0" memberValueDatatype="20" unbalanced="0"/>
    <cacheHierarchy uniqueName="[BusinessEnvironment].[Transportation Index]" caption="Transportation Index" attribute="1" defaultMemberUniqueName="[BusinessEnvironment].[Transportation Index].[All]" allUniqueName="[BusinessEnvironment].[Transportation Index].[All]" dimensionUniqueName="[BusinessEnvironment]" displayFolder="" count="0" memberValueDatatype="5" unbalanced="0"/>
    <cacheHierarchy uniqueName="[Cost].[Region of Residence]" caption="Region of Residence" attribute="1" defaultMemberUniqueName="[Cost].[Region of Residence].[All]" allUniqueName="[Cost].[Region of Residence].[All]" dimensionUniqueName="[Cost]" displayFolder="" count="0" memberValueDatatype="130" unbalanced="0"/>
    <cacheHierarchy uniqueName="[Cost].[Housing Price to Income Ratio]" caption="Housing Price to Income Ratio" attribute="1" defaultMemberUniqueName="[Cost].[Housing Price to Income Ratio].[All]" allUniqueName="[Cost].[Housing Price to Income Ratio].[All]" dimensionUniqueName="[Cost]" displayFolder="" count="0" memberValueDatatype="5" unbalanced="0"/>
    <cacheHierarchy uniqueName="[Cost].[Food]" caption="Food" attribute="1" defaultMemberUniqueName="[Cost].[Food].[All]" allUniqueName="[Cost].[Food].[All]" dimensionUniqueName="[Cost]" displayFolder="" count="0" memberValueDatatype="5" unbalanced="0"/>
    <cacheHierarchy uniqueName="[Cost].[Transportation (One way bus fare)]" caption="Transportation (One way bus fare)" attribute="1" defaultMemberUniqueName="[Cost].[Transportation (One way bus fare)].[All]" allUniqueName="[Cost].[Transportation (One way bus fare)].[All]" dimensionUniqueName="[Cost]" displayFolder="" count="0" memberValueDatatype="5" unbalanced="0"/>
    <cacheHierarchy uniqueName="[Cost].[Healthcare]" caption="Healthcare" attribute="1" defaultMemberUniqueName="[Cost].[Healthcare].[All]" allUniqueName="[Cost].[Healthcare].[All]" dimensionUniqueName="[Cost]" displayFolder="" count="0" memberValueDatatype="5" unbalanced="0"/>
    <cacheHierarchy uniqueName="[Cost].[Education]" caption="Education" attribute="1" defaultMemberUniqueName="[Cost].[Education].[All]" allUniqueName="[Cost].[Education].[All]" dimensionUniqueName="[Cost]" displayFolder="" count="0" memberValueDatatype="5" unbalanced="0"/>
    <cacheHierarchy uniqueName="[Cost].[Inflation Rates]" caption="Inflation Rates" attribute="1" defaultMemberUniqueName="[Cost].[Inflation Rates].[All]" allUniqueName="[Cost].[Inflation Rates].[All]" dimensionUniqueName="[Cost]" displayFolder="" count="0" memberValueDatatype="5" unbalanced="0"/>
    <cacheHierarchy uniqueName="[Cost].[Currency Purchasing Power]" caption="Currency Purchasing Power" attribute="1" defaultMemberUniqueName="[Cost].[Currency Purchasing Power].[All]" allUniqueName="[Cost].[Currency Purchasing Power].[All]" dimensionUniqueName="[Cost]" displayFolder="" count="0" memberValueDatatype="5" unbalanced="0"/>
    <cacheHierarchy uniqueName="[Cost].[Average Personal Income Tax Rates]" caption="Average Personal Income Tax Rates" attribute="1" defaultMemberUniqueName="[Cost].[Average Personal Income Tax Rates].[All]" allUniqueName="[Cost].[Average Personal Income Tax Rates].[All]" dimensionUniqueName="[Cost]" displayFolder="" count="0" memberValueDatatype="5" unbalanced="0"/>
    <cacheHierarchy uniqueName="[Cost].[Cost of a Vacation (A week)]" caption="Cost of a Vacation (A week)" attribute="1" defaultMemberUniqueName="[Cost].[Cost of a Vacation (A week)].[All]" allUniqueName="[Cost].[Cost of a Vacation (A week)].[All]" dimensionUniqueName="[Cost]" displayFolder="" count="0" memberValueDatatype="20" unbalanced="0"/>
    <cacheHierarchy uniqueName="[Healthcare].[Region of Residence]" caption="Region of Residence" attribute="1" defaultMemberUniqueName="[Healthcare].[Region of Residence].[All]" allUniqueName="[Healthcare].[Region of Residence].[All]" dimensionUniqueName="[Healthcare]" displayFolder="" count="0" memberValueDatatype="130" unbalanced="0"/>
    <cacheHierarchy uniqueName="[Healthcare].[Physician Density (per 1000 people)]" caption="Physician Density (per 1000 people)" attribute="1" defaultMemberUniqueName="[Healthcare].[Physician Density (per 1000 people)].[All]" allUniqueName="[Healthcare].[Physician Density (per 1000 people)].[All]" dimensionUniqueName="[Healthcare]" displayFolder="" count="0" memberValueDatatype="5" unbalanced="0"/>
    <cacheHierarchy uniqueName="[Healthcare].[Hospital Bed Density]" caption="Hospital Bed Density" attribute="1" defaultMemberUniqueName="[Healthcare].[Hospital Bed Density].[All]" allUniqueName="[Healthcare].[Hospital Bed Density].[All]" dimensionUniqueName="[Healthcare]" displayFolder="" count="0" memberValueDatatype="5" unbalanced="0"/>
    <cacheHierarchy uniqueName="[Healthcare].[Health Insurance Coverage]" caption="Health Insurance Coverage" attribute="1" defaultMemberUniqueName="[Healthcare].[Health Insurance Coverage].[All]" allUniqueName="[Healthcare].[Health Insurance Coverage].[All]" dimensionUniqueName="[Healthcare]" displayFolder="" count="0" memberValueDatatype="5" unbalanced="0"/>
    <cacheHierarchy uniqueName="[Healthcare].[Doctors (per 10000)]" caption="Doctors (per 10000)" attribute="1" defaultMemberUniqueName="[Healthcare].[Doctors (per 10000)].[All]" allUniqueName="[Healthcare].[Doctors (per 10000)].[All]" dimensionUniqueName="[Healthcare]" displayFolder="" count="0" memberValueDatatype="5" unbalanced="0"/>
    <cacheHierarchy uniqueName="[Healthcare].[Health Care Index]" caption="Health Care Index" attribute="1" defaultMemberUniqueName="[Healthcare].[Health Care Index].[All]" allUniqueName="[Healthcare].[Health Care Index].[All]" dimensionUniqueName="[Healthcare]" displayFolder="" count="0" memberValueDatatype="5" unbalanced="0"/>
    <cacheHierarchy uniqueName="[Healthcare].[Pollution Index]" caption="Pollution Index" attribute="1" defaultMemberUniqueName="[Healthcare].[Pollution Index].[All]" allUniqueName="[Healthcare].[Pollution Index].[All]" dimensionUniqueName="[Healthcare]" displayFolder="" count="0" memberValueDatatype="5" unbalanced="0"/>
    <cacheHierarchy uniqueName="[Healthcare].[Healthcare Access and Quality]" caption="Healthcare Access and Quality" attribute="1" defaultMemberUniqueName="[Healthcare].[Healthcare Access and Quality].[All]" allUniqueName="[Healthcare].[Healthcare Access and Quality].[All]" dimensionUniqueName="[Healthcare]" displayFolder="" count="0" memberValueDatatype="5" unbalanced="0"/>
    <cacheHierarchy uniqueName="[Internet].[Region of Residence]" caption="Region of Residence" attribute="1" defaultMemberUniqueName="[Internet].[Region of Residence].[All]" allUniqueName="[Internet].[Region of Residence].[All]" dimensionUniqueName="[Internet]" displayFolder="" count="0" memberValueDatatype="130" unbalanced="0"/>
    <cacheHierarchy uniqueName="[Internet].[Internet Speed (Mbps)]" caption="Internet Speed (Mbps)" attribute="1" defaultMemberUniqueName="[Internet].[Internet Speed (Mbps)].[All]" allUniqueName="[Internet].[Internet Speed (Mbps)].[All]" dimensionUniqueName="[Internet]" displayFolder="" count="0" memberValueDatatype="5" unbalanced="0"/>
    <cacheHierarchy uniqueName="[Internet].[Cost per Mbps]" caption="Cost per Mbps" attribute="1" defaultMemberUniqueName="[Internet].[Cost per Mbps].[All]" allUniqueName="[Internet].[Cost per Mbps].[All]" dimensionUniqueName="[Internet]" displayFolder="" count="0" memberValueDatatype="5" unbalanced="0"/>
    <cacheHierarchy uniqueName="[Internet].[Internet Penetration Rate]" caption="Internet Penetration Rate" attribute="1" defaultMemberUniqueName="[Internet].[Internet Penetration Rate].[All]" allUniqueName="[Internet].[Internet Penetration Rate].[All]" dimensionUniqueName="[Internet]" displayFolder="" count="0" memberValueDatatype="5" unbalanced="0"/>
    <cacheHierarchy uniqueName="[Internet].[Internet Censorship Index]" caption="Internet Censorship Index" attribute="1" defaultMemberUniqueName="[Internet].[Internet Censorship Index].[All]" allUniqueName="[Internet].[Internet Censorship Index].[All]" dimensionUniqueName="[Internet]" displayFolder="" count="0" memberValueDatatype="20" unbalanced="0"/>
    <cacheHierarchy uniqueName="[Internet].[Cybersecurity Index]" caption="Cybersecurity Index" attribute="1" defaultMemberUniqueName="[Internet].[Cybersecurity Index].[All]" allUniqueName="[Internet].[Cybersecurity Index].[All]" dimensionUniqueName="[Internet]" displayFolder="" count="0" memberValueDatatype="5" unbalanced="0"/>
    <cacheHierarchy uniqueName="[purchasing_power_parity_ppp].[Country]" caption="Country" attribute="1" defaultMemberUniqueName="[purchasing_power_parity_ppp].[Country].[All]" allUniqueName="[purchasing_power_parity_ppp].[Country].[All]" dimensionUniqueName="[purchasing_power_parity_ppp]" displayFolder="" count="0" memberValueDatatype="130" unbalanced="0"/>
    <cacheHierarchy uniqueName="[purchasing_power_parity_ppp].[Indicator Name]" caption="Indicator Name" attribute="1" defaultMemberUniqueName="[purchasing_power_parity_ppp].[Indicator Name].[All]" allUniqueName="[purchasing_power_parity_ppp].[Indicator Name].[All]" dimensionUniqueName="[purchasing_power_parity_ppp]" displayFolder="" count="0" memberValueDatatype="130" unbalanced="0"/>
    <cacheHierarchy uniqueName="[purchasing_power_parity_ppp].[Year]" caption="Year" attribute="1" defaultMemberUniqueName="[purchasing_power_parity_ppp].[Year].[All]" allUniqueName="[purchasing_power_parity_ppp].[Year].[All]" dimensionUniqueName="[purchasing_power_parity_ppp]" displayFolder="" count="0" memberValueDatatype="20" unbalanced="0"/>
    <cacheHierarchy uniqueName="[purchasing_power_parity_ppp].[PPP]" caption="PPP" attribute="1" defaultMemberUniqueName="[purchasing_power_parity_ppp].[PPP].[All]" allUniqueName="[purchasing_power_parity_ppp].[PPP].[All]" dimensionUniqueName="[purchasing_power_parity_ppp]" displayFolder="" count="0" memberValueDatatype="5" unbalanced="0"/>
    <cacheHierarchy uniqueName="[purchasing-power-parity-ppp].[Country]" caption="Country" attribute="1" defaultMemberUniqueName="[purchasing-power-parity-ppp].[Country].[All]" allUniqueName="[purchasing-power-parity-ppp].[Country].[All]" dimensionUniqueName="[purchasing-power-parity-ppp]" displayFolder="" count="0" memberValueDatatype="130" unbalanced="0"/>
    <cacheHierarchy uniqueName="[purchasing-power-parity-ppp].[Indicator Name]" caption="Indicator Name" attribute="1" defaultMemberUniqueName="[purchasing-power-parity-ppp].[Indicator Name].[All]" allUniqueName="[purchasing-power-parity-ppp].[Indicator Name].[All]" dimensionUniqueName="[purchasing-power-parity-ppp]" displayFolder="" count="0" memberValueDatatype="130" unbalanced="0"/>
    <cacheHierarchy uniqueName="[purchasing-power-parity-ppp].[Year]" caption="Year" attribute="1" defaultMemberUniqueName="[purchasing-power-parity-ppp].[Year].[All]" allUniqueName="[purchasing-power-parity-ppp].[Year].[All]" dimensionUniqueName="[purchasing-power-parity-ppp]" displayFolder="" count="0" memberValueDatatype="20" unbalanced="0"/>
    <cacheHierarchy uniqueName="[purchasing-power-parity-ppp].[PPP]" caption="PPP" attribute="1" defaultMemberUniqueName="[purchasing-power-parity-ppp].[PPP].[All]" allUniqueName="[purchasing-power-parity-ppp].[PPP].[All]" dimensionUniqueName="[purchasing-power-parity-ppp]" displayFolder="" count="0" memberValueDatatype="5" unbalanced="0"/>
    <cacheHierarchy uniqueName="[QualityofLife].[Region of Residence]" caption="Region of Residence" attribute="1" defaultMemberUniqueName="[QualityofLife].[Region of Residence].[All]" allUniqueName="[QualityofLife].[Region of Residence].[All]" dimensionUniqueName="[QualityofLife]" displayFolder="" count="0" memberValueDatatype="130" unbalanced="0"/>
    <cacheHierarchy uniqueName="[QualityofLife].[Life Expectancy]" caption="Life Expectancy" attribute="1" defaultMemberUniqueName="[QualityofLife].[Life Expectancy].[All]" allUniqueName="[QualityofLife].[Life Expectancy].[All]" dimensionUniqueName="[QualityofLife]" displayFolder="" count="0" memberValueDatatype="5" unbalanced="0"/>
    <cacheHierarchy uniqueName="[QualityofLife].[Education Index (Literacy or school enrollment)]" caption="Education Index (Literacy or school enrollment)" attribute="1" defaultMemberUniqueName="[QualityofLife].[Education Index (Literacy or school enrollment)].[All]" allUniqueName="[QualityofLife].[Education Index (Literacy or school enrollment)].[All]" dimensionUniqueName="[QualityofLife]" displayFolder="" count="0" memberValueDatatype="5" unbalanced="0"/>
    <cacheHierarchy uniqueName="[QualityofLife].[GDP per capita]" caption="GDP per capita" attribute="1" defaultMemberUniqueName="[QualityofLife].[GDP per capita].[All]" allUniqueName="[QualityofLife].[GDP per capita].[All]" dimensionUniqueName="[QualityofLife]" displayFolder="" count="0" memberValueDatatype="20" unbalanced="0"/>
    <cacheHierarchy uniqueName="[QualityofLife].[Safety Rate]" caption="Safety Rate" attribute="1" defaultMemberUniqueName="[QualityofLife].[Safety Rate].[All]" allUniqueName="[QualityofLife].[Safety Rate].[All]" dimensionUniqueName="[QualityofLife]" displayFolder="" count="0" memberValueDatatype="5" unbalanced="0"/>
    <cacheHierarchy uniqueName="[QualityofLife].[Pollution Index]" caption="Pollution Index" attribute="1" defaultMemberUniqueName="[QualityofLife].[Pollution Index].[All]" allUniqueName="[QualityofLife].[Pollution Index].[All]" dimensionUniqueName="[QualityofLife]" displayFolder="" count="0" memberValueDatatype="5" unbalanced="0"/>
    <cacheHierarchy uniqueName="[QualityofLife].[Climate Index]" caption="Climate Index" attribute="1" defaultMemberUniqueName="[QualityofLife].[Climate Index].[All]" allUniqueName="[QualityofLife].[Climate Index].[All]" dimensionUniqueName="[QualityofLife]" displayFolder="" count="0" memberValueDatatype="5" unbalanced="0"/>
    <cacheHierarchy uniqueName="[QualityofLife].[Property price to income ratio]" caption="Property price to income ratio" attribute="1" defaultMemberUniqueName="[QualityofLife].[Property price to income ratio].[All]" allUniqueName="[QualityofLife].[Property price to income ratio].[All]" dimensionUniqueName="[QualityofLife]" displayFolder="" count="0" memberValueDatatype="5" unbalanced="0"/>
    <cacheHierarchy uniqueName="[QualityofLife].[Traffic commute time index]" caption="Traffic commute time index" attribute="1" defaultMemberUniqueName="[QualityofLife].[Traffic commute time index].[All]" allUniqueName="[QualityofLife].[Traffic commute time index].[All]" dimensionUniqueName="[QualityofLife]" displayFolder="" count="0" memberValueDatatype="5" unbalanced="0"/>
    <cacheHierarchy uniqueName="[QualityofLife].[Personal Freedom and Human Rights]" caption="Personal Freedom and Human Rights" attribute="1" defaultMemberUniqueName="[QualityofLife].[Personal Freedom and Human Rights].[All]" allUniqueName="[QualityofLife].[Personal Freedom and Human Rights].[All]" dimensionUniqueName="[QualityofLife]" displayFolder="" count="0" memberValueDatatype="5" unbalanced="0"/>
    <cacheHierarchy uniqueName="[Region].[Region of Residence]" caption="Region of Residence" attribute="1" defaultMemberUniqueName="[Region].[Region of Residence].[All]" allUniqueName="[Region].[Region of Residence].[All]" dimensionUniqueName="[Region]" displayFolder="" count="2" memberValueDatatype="130" unbalanced="0">
      <fieldsUsage count="2">
        <fieldUsage x="-1"/>
        <fieldUsage x="2"/>
      </fieldsUsage>
    </cacheHierarchy>
    <cacheHierarchy uniqueName="[Measures].[__XL_Count BusinessEnvironment]" caption="__XL_Count BusinessEnvironment" measure="1" displayFolder="" measureGroup="BusinessEnvironment" count="0" hidden="1"/>
    <cacheHierarchy uniqueName="[Measures].[__XL_Count Cost]" caption="__XL_Count Cost" measure="1" displayFolder="" measureGroup="Cost" count="0" hidden="1"/>
    <cacheHierarchy uniqueName="[Measures].[__XL_Count Healthcare]" caption="__XL_Count Healthcare" measure="1" displayFolder="" measureGroup="Healthcare" count="0" hidden="1"/>
    <cacheHierarchy uniqueName="[Measures].[__XL_Count Internet]" caption="__XL_Count Internet" measure="1" displayFolder="" measureGroup="Internet" count="0" hidden="1"/>
    <cacheHierarchy uniqueName="[Measures].[__XL_Count QualityofLife]" caption="__XL_Count QualityofLife" measure="1" displayFolder="" measureGroup="QualityofLife" count="0" hidden="1"/>
    <cacheHierarchy uniqueName="[Measures].[__XL_Count Region]" caption="__XL_Count Region" measure="1" displayFolder="" measureGroup="Region" count="0" hidden="1"/>
    <cacheHierarchy uniqueName="[Measures].[__XL_Count purchasing-power-parity-ppp]" caption="__XL_Count purchasing-power-parity-ppp" measure="1" displayFolder="" measureGroup="purchasing-power-parity-ppp" count="0" hidden="1"/>
    <cacheHierarchy uniqueName="[Measures].[__XL_Count purchasing_power_parity_ppp]" caption="__XL_Count purchasing_power_parity_ppp" measure="1" displayFolder="" measureGroup="purchasing_power_parity_ppp" count="0" hidden="1"/>
    <cacheHierarchy uniqueName="[Measures].[__No measures defined]" caption="__No measures defined" measure="1" displayFolder="" count="0" hidden="1"/>
    <cacheHierarchy uniqueName="[Measures].[Sum of Healthcare]" caption="Sum of Healthcare" measure="1" displayFolder="" measureGroup="Cost" count="0" hidden="1">
      <extLst>
        <ext xmlns:x15="http://schemas.microsoft.com/office/spreadsheetml/2010/11/main" uri="{B97F6D7D-B522-45F9-BDA1-12C45D357490}">
          <x15:cacheHierarchy aggregatedColumn="13"/>
        </ext>
      </extLst>
    </cacheHierarchy>
    <cacheHierarchy uniqueName="[Measures].[Sum of Corruption Index]" caption="Sum of Corruption Index" measure="1" displayFolder="" measureGroup="BusinessEnvironment" count="0" hidden="1">
      <extLst>
        <ext xmlns:x15="http://schemas.microsoft.com/office/spreadsheetml/2010/11/main" uri="{B97F6D7D-B522-45F9-BDA1-12C45D357490}">
          <x15:cacheHierarchy aggregatedColumn="4"/>
        </ext>
      </extLst>
    </cacheHierarchy>
    <cacheHierarchy uniqueName="[Measures].[Sum of Intellectual Property Protection Index]" caption="Sum of Intellectual Property Protection Index" measure="1" displayFolder="" measureGroup="BusinessEnvironment" count="0" hidden="1">
      <extLst>
        <ext xmlns:x15="http://schemas.microsoft.com/office/spreadsheetml/2010/11/main" uri="{B97F6D7D-B522-45F9-BDA1-12C45D357490}">
          <x15:cacheHierarchy aggregatedColumn="5"/>
        </ext>
      </extLst>
    </cacheHierarchy>
    <cacheHierarchy uniqueName="[Measures].[Sum of Stock Market Cap (Million)]" caption="Sum of Stock Market Cap (Million)" measure="1" displayFolder="" measureGroup="BusinessEnvironment" count="0" hidden="1">
      <extLst>
        <ext xmlns:x15="http://schemas.microsoft.com/office/spreadsheetml/2010/11/main" uri="{B97F6D7D-B522-45F9-BDA1-12C45D357490}">
          <x15:cacheHierarchy aggregatedColumn="6"/>
        </ext>
      </extLst>
    </cacheHierarchy>
    <cacheHierarchy uniqueName="[Measures].[Sum of Internet Penetration Rate]" caption="Sum of Internet Penetration Rate" measure="1" displayFolder="" measureGroup="Internet" count="0" hidden="1"/>
    <cacheHierarchy uniqueName="[Measures].[Sum of Cost per Mbps]" caption="Sum of Cost per Mbps" measure="1" displayFolder="" measureGroup="Internet" count="0" hidden="1">
      <extLst>
        <ext xmlns:x15="http://schemas.microsoft.com/office/spreadsheetml/2010/11/main" uri="{B97F6D7D-B522-45F9-BDA1-12C45D357490}">
          <x15:cacheHierarchy aggregatedColumn="29"/>
        </ext>
      </extLst>
    </cacheHierarchy>
    <cacheHierarchy uniqueName="[Measures].[Sum of Hospital Bed Density]" caption="Sum of Hospital Bed Density" measure="1" displayFolder="" measureGroup="Healthcare" count="0" hidden="1"/>
    <cacheHierarchy uniqueName="[Measures].[Sum of Doctors (per 10000)]" caption="Sum of Doctors (per 10000)" measure="1" displayFolder="" measureGroup="Healthcare" count="0" hidden="1">
      <extLst>
        <ext xmlns:x15="http://schemas.microsoft.com/office/spreadsheetml/2010/11/main" uri="{B97F6D7D-B522-45F9-BDA1-12C45D357490}">
          <x15:cacheHierarchy aggregatedColumn="23"/>
        </ext>
      </extLst>
    </cacheHierarchy>
    <cacheHierarchy uniqueName="[Measures].[Sum of Education]" caption="Sum of Education" measure="1" displayFolder="" measureGroup="Cost" count="0" hidden="1">
      <extLst>
        <ext xmlns:x15="http://schemas.microsoft.com/office/spreadsheetml/2010/11/main" uri="{B97F6D7D-B522-45F9-BDA1-12C45D357490}">
          <x15:cacheHierarchy aggregatedColumn="14"/>
        </ext>
      </extLst>
    </cacheHierarchy>
    <cacheHierarchy uniqueName="[Measures].[Sum of Climate Index]" caption="Sum of Climate Index" measure="1" displayFolder="" measureGroup="QualityofLife" count="0" hidden="1">
      <extLst>
        <ext xmlns:x15="http://schemas.microsoft.com/office/spreadsheetml/2010/11/main" uri="{B97F6D7D-B522-45F9-BDA1-12C45D357490}">
          <x15:cacheHierarchy aggregatedColumn="47"/>
        </ext>
      </extLst>
    </cacheHierarchy>
    <cacheHierarchy uniqueName="[Measures].[Sum of Median Income]" caption="Sum of Median Income" measure="1" displayFolder="" measureGroup="BusinessEnvironment" count="0" hidden="1">
      <extLst>
        <ext xmlns:x15="http://schemas.microsoft.com/office/spreadsheetml/2010/11/main" uri="{B97F6D7D-B522-45F9-BDA1-12C45D357490}">
          <x15:cacheHierarchy aggregatedColumn="7"/>
        </ext>
      </extLst>
    </cacheHierarchy>
    <cacheHierarchy uniqueName="[Measures].[Sum of Transportation Index]" caption="Sum of Transportation Index" measure="1" displayFolder="" measureGroup="BusinessEnvironment" count="0" hidden="1">
      <extLst>
        <ext xmlns:x15="http://schemas.microsoft.com/office/spreadsheetml/2010/11/main" uri="{B97F6D7D-B522-45F9-BDA1-12C45D357490}">
          <x15:cacheHierarchy aggregatedColumn="8"/>
        </ext>
      </extLst>
    </cacheHierarchy>
    <cacheHierarchy uniqueName="[Measures].[Sum of Healthcare Access and Quality]" caption="Sum of Healthcare Access and Quality" measure="1" displayFolder="" measureGroup="Healthcare" count="0" hidden="1">
      <extLst>
        <ext xmlns:x15="http://schemas.microsoft.com/office/spreadsheetml/2010/11/main" uri="{B97F6D7D-B522-45F9-BDA1-12C45D357490}">
          <x15:cacheHierarchy aggregatedColumn="26"/>
        </ext>
      </extLst>
    </cacheHierarchy>
    <cacheHierarchy uniqueName="[Measures].[Sum of Internet Speed (Mbps)]" caption="Sum of Internet Speed (Mbps)" measure="1" displayFolder="" measureGroup="Internet" count="0" hidden="1">
      <extLst>
        <ext xmlns:x15="http://schemas.microsoft.com/office/spreadsheetml/2010/11/main" uri="{B97F6D7D-B522-45F9-BDA1-12C45D357490}">
          <x15:cacheHierarchy aggregatedColumn="28"/>
        </ext>
      </extLst>
    </cacheHierarchy>
    <cacheHierarchy uniqueName="[Measures].[Sum of Corporate Tax rates]" caption="Sum of Corporate Tax rates" measure="1" displayFolder="" measureGroup="BusinessEnvironment" count="0" hidden="1">
      <extLst>
        <ext xmlns:x15="http://schemas.microsoft.com/office/spreadsheetml/2010/11/main" uri="{B97F6D7D-B522-45F9-BDA1-12C45D357490}">
          <x15:cacheHierarchy aggregatedColumn="2"/>
        </ext>
      </extLst>
    </cacheHierarchy>
    <cacheHierarchy uniqueName="[Measures].[Sum of Education Index (Literacy or school enrollment)]" caption="Sum of Education Index (Literacy or school enrollment)" measure="1" displayFolder="" measureGroup="QualityofLife" count="0" hidden="1">
      <extLst>
        <ext xmlns:x15="http://schemas.microsoft.com/office/spreadsheetml/2010/11/main" uri="{B97F6D7D-B522-45F9-BDA1-12C45D357490}">
          <x15:cacheHierarchy aggregatedColumn="43"/>
        </ext>
      </extLst>
    </cacheHierarchy>
    <cacheHierarchy uniqueName="[Measures].[Sum of Housing Price to Income Ratio]" caption="Sum of Housing Price to Income Ratio" measure="1" displayFolder="" measureGroup="Cost" count="0" hidden="1">
      <extLst>
        <ext xmlns:x15="http://schemas.microsoft.com/office/spreadsheetml/2010/11/main" uri="{B97F6D7D-B522-45F9-BDA1-12C45D357490}">
          <x15:cacheHierarchy aggregatedColumn="10"/>
        </ext>
      </extLst>
    </cacheHierarchy>
    <cacheHierarchy uniqueName="[Measures].[Sum of Food]" caption="Sum of Food" measure="1" displayFolder="" measureGroup="Cost" count="0" hidden="1">
      <extLst>
        <ext xmlns:x15="http://schemas.microsoft.com/office/spreadsheetml/2010/11/main" uri="{B97F6D7D-B522-45F9-BDA1-12C45D357490}">
          <x15:cacheHierarchy aggregatedColumn="11"/>
        </ext>
      </extLst>
    </cacheHierarchy>
    <cacheHierarchy uniqueName="[Measures].[Sum of Property price to income ratio]" caption="Sum of Property price to income ratio" measure="1" displayFolder="" measureGroup="QualityofLife" count="0" hidden="1">
      <extLst>
        <ext xmlns:x15="http://schemas.microsoft.com/office/spreadsheetml/2010/11/main" uri="{B97F6D7D-B522-45F9-BDA1-12C45D357490}">
          <x15:cacheHierarchy aggregatedColumn="48"/>
        </ext>
      </extLst>
    </cacheHierarchy>
    <cacheHierarchy uniqueName="[Measures].[Sum of GDP per capita]" caption="Sum of GDP per capita" measure="1" displayFolder="" measureGroup="QualityofLife" count="0" hidden="1">
      <extLst>
        <ext xmlns:x15="http://schemas.microsoft.com/office/spreadsheetml/2010/11/main" uri="{B97F6D7D-B522-45F9-BDA1-12C45D357490}">
          <x15:cacheHierarchy aggregatedColumn="44"/>
        </ext>
      </extLst>
    </cacheHierarchy>
    <cacheHierarchy uniqueName="[Measures].[Sum of Innovation Ranking]" caption="Sum of Innovation Ranking" measure="1" displayFolder="" measureGroup="BusinessEnvironment" count="0" hidden="1">
      <extLst>
        <ext xmlns:x15="http://schemas.microsoft.com/office/spreadsheetml/2010/11/main" uri="{B97F6D7D-B522-45F9-BDA1-12C45D357490}">
          <x15:cacheHierarchy aggregatedColumn="3"/>
        </ext>
      </extLst>
    </cacheHierarchy>
    <cacheHierarchy uniqueName="[Measures].[Sum of Ease of doing business Index]" caption="Sum of Ease of doing business Index" measure="1" displayFolder="" measureGroup="BusinessEnvironment"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Health Insurance Coverage]" caption="Sum of Health Insurance Coverage" measure="1" displayFolder="" measureGroup="Healthcare" count="0" hidden="1">
      <extLst>
        <ext xmlns:x15="http://schemas.microsoft.com/office/spreadsheetml/2010/11/main" uri="{B97F6D7D-B522-45F9-BDA1-12C45D357490}">
          <x15:cacheHierarchy aggregatedColumn="22"/>
        </ext>
      </extLst>
    </cacheHierarchy>
    <cacheHierarchy uniqueName="[Measures].[Sum of PPP]" caption="Sum of PPP" measure="1" displayFolder="" measureGroup="purchasing_power_parity_ppp"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purchasing_power_parity_ppp" count="0" hidden="1">
      <extLst>
        <ext xmlns:x15="http://schemas.microsoft.com/office/spreadsheetml/2010/11/main" uri="{B97F6D7D-B522-45F9-BDA1-12C45D357490}">
          <x15:cacheHierarchy aggregatedColumn="35"/>
        </ext>
      </extLst>
    </cacheHierarchy>
  </cacheHierarchies>
  <kpis count="0"/>
  <dimensions count="9">
    <dimension name="BusinessEnvironment" uniqueName="[BusinessEnvironment]" caption="BusinessEnvironment"/>
    <dimension name="Cost" uniqueName="[Cost]" caption="Cost"/>
    <dimension name="Healthcare" uniqueName="[Healthcare]" caption="Healthcare"/>
    <dimension name="Internet" uniqueName="[Internet]" caption="Internet"/>
    <dimension measure="1" name="Measures" uniqueName="[Measures]" caption="Measures"/>
    <dimension name="purchasing_power_parity_ppp" uniqueName="[purchasing_power_parity_ppp]" caption="purchasing_power_parity_ppp"/>
    <dimension name="purchasing-power-parity-ppp" uniqueName="[purchasing-power-parity-ppp]" caption="purchasing-power-parity-ppp"/>
    <dimension name="QualityofLife" uniqueName="[QualityofLife]" caption="QualityofLife"/>
    <dimension name="Region" uniqueName="[Region]" caption="Region"/>
  </dimensions>
  <measureGroups count="8">
    <measureGroup name="BusinessEnvironment" caption="BusinessEnvironment"/>
    <measureGroup name="Cost" caption="Cost"/>
    <measureGroup name="Healthcare" caption="Healthcare"/>
    <measureGroup name="Internet" caption="Internet"/>
    <measureGroup name="purchasing_power_parity_ppp" caption="purchasing_power_parity_ppp"/>
    <measureGroup name="purchasing-power-parity-ppp" caption="purchasing-power-parity-ppp"/>
    <measureGroup name="QualityofLife" caption="QualityofLife"/>
    <measureGroup name="Region" caption="Region"/>
  </measureGroups>
  <maps count="13">
    <map measureGroup="0" dimension="0"/>
    <map measureGroup="0" dimension="8"/>
    <map measureGroup="1" dimension="1"/>
    <map measureGroup="1" dimension="8"/>
    <map measureGroup="2" dimension="2"/>
    <map measureGroup="2" dimension="8"/>
    <map measureGroup="3" dimension="3"/>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62.41348333333" backgroundQuery="1" createdVersion="8" refreshedVersion="8" minRefreshableVersion="3" recordCount="0" supportSubquery="1" supportAdvancedDrill="1" xr:uid="{20596F7B-FE26-47C6-A1A0-144F229772A4}">
  <cacheSource type="external" connectionId="3"/>
  <cacheFields count="3">
    <cacheField name="[BusinessEnvironment].[Region of Residence].[Region of Residence]" caption="Region of Residence" numFmtId="0" level="1">
      <sharedItems count="5">
        <s v="Hong Kong"/>
        <s v="Kazakhstan"/>
        <s v="Pakistan"/>
        <s v="United States"/>
        <s v="Vietnam"/>
      </sharedItems>
    </cacheField>
    <cacheField name="[Measures].[Sum of Corporate Tax rates]" caption="Sum of Corporate Tax rates" numFmtId="0" hierarchy="75" level="32767"/>
    <cacheField name="[Region].[Region of Residence].[Region of Residence]" caption="Region of Residence" numFmtId="0" hierarchy="51" level="1">
      <sharedItems containsSemiMixedTypes="0" containsNonDate="0" containsString="0"/>
    </cacheField>
  </cacheFields>
  <cacheHierarchies count="86">
    <cacheHierarchy uniqueName="[BusinessEnvironment].[Region of Residence]" caption="Region of Residence" attribute="1" defaultMemberUniqueName="[BusinessEnvironment].[Region of Residence].[All]" allUniqueName="[BusinessEnvironment].[Region of Residence].[All]" dimensionUniqueName="[BusinessEnvironment]" displayFolder="" count="2" memberValueDatatype="130" unbalanced="0">
      <fieldsUsage count="2">
        <fieldUsage x="-1"/>
        <fieldUsage x="0"/>
      </fieldsUsage>
    </cacheHierarchy>
    <cacheHierarchy uniqueName="[BusinessEnvironment].[Ease of doing business Index]" caption="Ease of doing business Index" attribute="1" defaultMemberUniqueName="[BusinessEnvironment].[Ease of doing business Index].[All]" allUniqueName="[BusinessEnvironment].[Ease of doing business Index].[All]" dimensionUniqueName="[BusinessEnvironment]" displayFolder="" count="0" memberValueDatatype="5" unbalanced="0"/>
    <cacheHierarchy uniqueName="[BusinessEnvironment].[Corporate Tax rates]" caption="Corporate Tax rates" attribute="1" defaultMemberUniqueName="[BusinessEnvironment].[Corporate Tax rates].[All]" allUniqueName="[BusinessEnvironment].[Corporate Tax rates].[All]" dimensionUniqueName="[BusinessEnvironment]" displayFolder="" count="0" memberValueDatatype="5" unbalanced="0"/>
    <cacheHierarchy uniqueName="[BusinessEnvironment].[Innovation Ranking]" caption="Innovation Ranking" attribute="1" defaultMemberUniqueName="[BusinessEnvironment].[Innovation Ranking].[All]" allUniqueName="[BusinessEnvironment].[Innovation Ranking].[All]" dimensionUniqueName="[BusinessEnvironment]" displayFolder="" count="0" memberValueDatatype="20" unbalanced="0"/>
    <cacheHierarchy uniqueName="[BusinessEnvironment].[Corruption Index]" caption="Corruption Index" attribute="1" defaultMemberUniqueName="[BusinessEnvironment].[Corruption Index].[All]" allUniqueName="[BusinessEnvironment].[Corruption Index].[All]" dimensionUniqueName="[BusinessEnvironment]" displayFolder="" count="0" memberValueDatatype="20" unbalanced="0"/>
    <cacheHierarchy uniqueName="[BusinessEnvironment].[Intellectual Property Protection Index]" caption="Intellectual Property Protection Index" attribute="1" defaultMemberUniqueName="[BusinessEnvironment].[Intellectual Property Protection Index].[All]" allUniqueName="[BusinessEnvironment].[Intellectual Property Protection Index].[All]" dimensionUniqueName="[BusinessEnvironment]" displayFolder="" count="0" memberValueDatatype="5" unbalanced="0"/>
    <cacheHierarchy uniqueName="[BusinessEnvironment].[Stock Market Cap (Million)]" caption="Stock Market Cap (Million)" attribute="1" defaultMemberUniqueName="[BusinessEnvironment].[Stock Market Cap (Million)].[All]" allUniqueName="[BusinessEnvironment].[Stock Market Cap (Million)].[All]" dimensionUniqueName="[BusinessEnvironment]" displayFolder="" count="0" memberValueDatatype="20" unbalanced="0"/>
    <cacheHierarchy uniqueName="[BusinessEnvironment].[Median Income]" caption="Median Income" attribute="1" defaultMemberUniqueName="[BusinessEnvironment].[Median Income].[All]" allUniqueName="[BusinessEnvironment].[Median Income].[All]" dimensionUniqueName="[BusinessEnvironment]" displayFolder="" count="0" memberValueDatatype="20" unbalanced="0"/>
    <cacheHierarchy uniqueName="[BusinessEnvironment].[Transportation Index]" caption="Transportation Index" attribute="1" defaultMemberUniqueName="[BusinessEnvironment].[Transportation Index].[All]" allUniqueName="[BusinessEnvironment].[Transportation Index].[All]" dimensionUniqueName="[BusinessEnvironment]" displayFolder="" count="0" memberValueDatatype="5" unbalanced="0"/>
    <cacheHierarchy uniqueName="[Cost].[Region of Residence]" caption="Region of Residence" attribute="1" defaultMemberUniqueName="[Cost].[Region of Residence].[All]" allUniqueName="[Cost].[Region of Residence].[All]" dimensionUniqueName="[Cost]" displayFolder="" count="0" memberValueDatatype="130" unbalanced="0"/>
    <cacheHierarchy uniqueName="[Cost].[Housing Price to Income Ratio]" caption="Housing Price to Income Ratio" attribute="1" defaultMemberUniqueName="[Cost].[Housing Price to Income Ratio].[All]" allUniqueName="[Cost].[Housing Price to Income Ratio].[All]" dimensionUniqueName="[Cost]" displayFolder="" count="0" memberValueDatatype="5" unbalanced="0"/>
    <cacheHierarchy uniqueName="[Cost].[Food]" caption="Food" attribute="1" defaultMemberUniqueName="[Cost].[Food].[All]" allUniqueName="[Cost].[Food].[All]" dimensionUniqueName="[Cost]" displayFolder="" count="0" memberValueDatatype="5" unbalanced="0"/>
    <cacheHierarchy uniqueName="[Cost].[Transportation (One way bus fare)]" caption="Transportation (One way bus fare)" attribute="1" defaultMemberUniqueName="[Cost].[Transportation (One way bus fare)].[All]" allUniqueName="[Cost].[Transportation (One way bus fare)].[All]" dimensionUniqueName="[Cost]" displayFolder="" count="0" memberValueDatatype="5" unbalanced="0"/>
    <cacheHierarchy uniqueName="[Cost].[Healthcare]" caption="Healthcare" attribute="1" defaultMemberUniqueName="[Cost].[Healthcare].[All]" allUniqueName="[Cost].[Healthcare].[All]" dimensionUniqueName="[Cost]" displayFolder="" count="0" memberValueDatatype="5" unbalanced="0"/>
    <cacheHierarchy uniqueName="[Cost].[Education]" caption="Education" attribute="1" defaultMemberUniqueName="[Cost].[Education].[All]" allUniqueName="[Cost].[Education].[All]" dimensionUniqueName="[Cost]" displayFolder="" count="0" memberValueDatatype="5" unbalanced="0"/>
    <cacheHierarchy uniqueName="[Cost].[Inflation Rates]" caption="Inflation Rates" attribute="1" defaultMemberUniqueName="[Cost].[Inflation Rates].[All]" allUniqueName="[Cost].[Inflation Rates].[All]" dimensionUniqueName="[Cost]" displayFolder="" count="0" memberValueDatatype="5" unbalanced="0"/>
    <cacheHierarchy uniqueName="[Cost].[Currency Purchasing Power]" caption="Currency Purchasing Power" attribute="1" defaultMemberUniqueName="[Cost].[Currency Purchasing Power].[All]" allUniqueName="[Cost].[Currency Purchasing Power].[All]" dimensionUniqueName="[Cost]" displayFolder="" count="0" memberValueDatatype="5" unbalanced="0"/>
    <cacheHierarchy uniqueName="[Cost].[Average Personal Income Tax Rates]" caption="Average Personal Income Tax Rates" attribute="1" defaultMemberUniqueName="[Cost].[Average Personal Income Tax Rates].[All]" allUniqueName="[Cost].[Average Personal Income Tax Rates].[All]" dimensionUniqueName="[Cost]" displayFolder="" count="0" memberValueDatatype="5" unbalanced="0"/>
    <cacheHierarchy uniqueName="[Cost].[Cost of a Vacation (A week)]" caption="Cost of a Vacation (A week)" attribute="1" defaultMemberUniqueName="[Cost].[Cost of a Vacation (A week)].[All]" allUniqueName="[Cost].[Cost of a Vacation (A week)].[All]" dimensionUniqueName="[Cost]" displayFolder="" count="0" memberValueDatatype="20" unbalanced="0"/>
    <cacheHierarchy uniqueName="[Healthcare].[Region of Residence]" caption="Region of Residence" attribute="1" defaultMemberUniqueName="[Healthcare].[Region of Residence].[All]" allUniqueName="[Healthcare].[Region of Residence].[All]" dimensionUniqueName="[Healthcare]" displayFolder="" count="0" memberValueDatatype="130" unbalanced="0"/>
    <cacheHierarchy uniqueName="[Healthcare].[Physician Density (per 1000 people)]" caption="Physician Density (per 1000 people)" attribute="1" defaultMemberUniqueName="[Healthcare].[Physician Density (per 1000 people)].[All]" allUniqueName="[Healthcare].[Physician Density (per 1000 people)].[All]" dimensionUniqueName="[Healthcare]" displayFolder="" count="0" memberValueDatatype="5" unbalanced="0"/>
    <cacheHierarchy uniqueName="[Healthcare].[Hospital Bed Density]" caption="Hospital Bed Density" attribute="1" defaultMemberUniqueName="[Healthcare].[Hospital Bed Density].[All]" allUniqueName="[Healthcare].[Hospital Bed Density].[All]" dimensionUniqueName="[Healthcare]" displayFolder="" count="0" memberValueDatatype="5" unbalanced="0"/>
    <cacheHierarchy uniqueName="[Healthcare].[Health Insurance Coverage]" caption="Health Insurance Coverage" attribute="1" defaultMemberUniqueName="[Healthcare].[Health Insurance Coverage].[All]" allUniqueName="[Healthcare].[Health Insurance Coverage].[All]" dimensionUniqueName="[Healthcare]" displayFolder="" count="0" memberValueDatatype="5" unbalanced="0"/>
    <cacheHierarchy uniqueName="[Healthcare].[Doctors (per 10000)]" caption="Doctors (per 10000)" attribute="1" defaultMemberUniqueName="[Healthcare].[Doctors (per 10000)].[All]" allUniqueName="[Healthcare].[Doctors (per 10000)].[All]" dimensionUniqueName="[Healthcare]" displayFolder="" count="0" memberValueDatatype="5" unbalanced="0"/>
    <cacheHierarchy uniqueName="[Healthcare].[Health Care Index]" caption="Health Care Index" attribute="1" defaultMemberUniqueName="[Healthcare].[Health Care Index].[All]" allUniqueName="[Healthcare].[Health Care Index].[All]" dimensionUniqueName="[Healthcare]" displayFolder="" count="0" memberValueDatatype="5" unbalanced="0"/>
    <cacheHierarchy uniqueName="[Healthcare].[Pollution Index]" caption="Pollution Index" attribute="1" defaultMemberUniqueName="[Healthcare].[Pollution Index].[All]" allUniqueName="[Healthcare].[Pollution Index].[All]" dimensionUniqueName="[Healthcare]" displayFolder="" count="0" memberValueDatatype="5" unbalanced="0"/>
    <cacheHierarchy uniqueName="[Healthcare].[Healthcare Access and Quality]" caption="Healthcare Access and Quality" attribute="1" defaultMemberUniqueName="[Healthcare].[Healthcare Access and Quality].[All]" allUniqueName="[Healthcare].[Healthcare Access and Quality].[All]" dimensionUniqueName="[Healthcare]" displayFolder="" count="0" memberValueDatatype="5" unbalanced="0"/>
    <cacheHierarchy uniqueName="[Internet].[Region of Residence]" caption="Region of Residence" attribute="1" defaultMemberUniqueName="[Internet].[Region of Residence].[All]" allUniqueName="[Internet].[Region of Residence].[All]" dimensionUniqueName="[Internet]" displayFolder="" count="0" memberValueDatatype="130" unbalanced="0"/>
    <cacheHierarchy uniqueName="[Internet].[Internet Speed (Mbps)]" caption="Internet Speed (Mbps)" attribute="1" defaultMemberUniqueName="[Internet].[Internet Speed (Mbps)].[All]" allUniqueName="[Internet].[Internet Speed (Mbps)].[All]" dimensionUniqueName="[Internet]" displayFolder="" count="0" memberValueDatatype="5" unbalanced="0"/>
    <cacheHierarchy uniqueName="[Internet].[Cost per Mbps]" caption="Cost per Mbps" attribute="1" defaultMemberUniqueName="[Internet].[Cost per Mbps].[All]" allUniqueName="[Internet].[Cost per Mbps].[All]" dimensionUniqueName="[Internet]" displayFolder="" count="0" memberValueDatatype="5" unbalanced="0"/>
    <cacheHierarchy uniqueName="[Internet].[Internet Penetration Rate]" caption="Internet Penetration Rate" attribute="1" defaultMemberUniqueName="[Internet].[Internet Penetration Rate].[All]" allUniqueName="[Internet].[Internet Penetration Rate].[All]" dimensionUniqueName="[Internet]" displayFolder="" count="0" memberValueDatatype="5" unbalanced="0"/>
    <cacheHierarchy uniqueName="[Internet].[Internet Censorship Index]" caption="Internet Censorship Index" attribute="1" defaultMemberUniqueName="[Internet].[Internet Censorship Index].[All]" allUniqueName="[Internet].[Internet Censorship Index].[All]" dimensionUniqueName="[Internet]" displayFolder="" count="0" memberValueDatatype="20" unbalanced="0"/>
    <cacheHierarchy uniqueName="[Internet].[Cybersecurity Index]" caption="Cybersecurity Index" attribute="1" defaultMemberUniqueName="[Internet].[Cybersecurity Index].[All]" allUniqueName="[Internet].[Cybersecurity Index].[All]" dimensionUniqueName="[Internet]" displayFolder="" count="0" memberValueDatatype="5" unbalanced="0"/>
    <cacheHierarchy uniqueName="[purchasing_power_parity_ppp].[Country]" caption="Country" attribute="1" defaultMemberUniqueName="[purchasing_power_parity_ppp].[Country].[All]" allUniqueName="[purchasing_power_parity_ppp].[Country].[All]" dimensionUniqueName="[purchasing_power_parity_ppp]" displayFolder="" count="0" memberValueDatatype="130" unbalanced="0"/>
    <cacheHierarchy uniqueName="[purchasing_power_parity_ppp].[Indicator Name]" caption="Indicator Name" attribute="1" defaultMemberUniqueName="[purchasing_power_parity_ppp].[Indicator Name].[All]" allUniqueName="[purchasing_power_parity_ppp].[Indicator Name].[All]" dimensionUniqueName="[purchasing_power_parity_ppp]" displayFolder="" count="0" memberValueDatatype="130" unbalanced="0"/>
    <cacheHierarchy uniqueName="[purchasing_power_parity_ppp].[Year]" caption="Year" attribute="1" defaultMemberUniqueName="[purchasing_power_parity_ppp].[Year].[All]" allUniqueName="[purchasing_power_parity_ppp].[Year].[All]" dimensionUniqueName="[purchasing_power_parity_ppp]" displayFolder="" count="0" memberValueDatatype="20" unbalanced="0"/>
    <cacheHierarchy uniqueName="[purchasing_power_parity_ppp].[PPP]" caption="PPP" attribute="1" defaultMemberUniqueName="[purchasing_power_parity_ppp].[PPP].[All]" allUniqueName="[purchasing_power_parity_ppp].[PPP].[All]" dimensionUniqueName="[purchasing_power_parity_ppp]" displayFolder="" count="0" memberValueDatatype="5" unbalanced="0"/>
    <cacheHierarchy uniqueName="[purchasing-power-parity-ppp].[Country]" caption="Country" attribute="1" defaultMemberUniqueName="[purchasing-power-parity-ppp].[Country].[All]" allUniqueName="[purchasing-power-parity-ppp].[Country].[All]" dimensionUniqueName="[purchasing-power-parity-ppp]" displayFolder="" count="0" memberValueDatatype="130" unbalanced="0"/>
    <cacheHierarchy uniqueName="[purchasing-power-parity-ppp].[Indicator Name]" caption="Indicator Name" attribute="1" defaultMemberUniqueName="[purchasing-power-parity-ppp].[Indicator Name].[All]" allUniqueName="[purchasing-power-parity-ppp].[Indicator Name].[All]" dimensionUniqueName="[purchasing-power-parity-ppp]" displayFolder="" count="0" memberValueDatatype="130" unbalanced="0"/>
    <cacheHierarchy uniqueName="[purchasing-power-parity-ppp].[Year]" caption="Year" attribute="1" defaultMemberUniqueName="[purchasing-power-parity-ppp].[Year].[All]" allUniqueName="[purchasing-power-parity-ppp].[Year].[All]" dimensionUniqueName="[purchasing-power-parity-ppp]" displayFolder="" count="0" memberValueDatatype="20" unbalanced="0"/>
    <cacheHierarchy uniqueName="[purchasing-power-parity-ppp].[PPP]" caption="PPP" attribute="1" defaultMemberUniqueName="[purchasing-power-parity-ppp].[PPP].[All]" allUniqueName="[purchasing-power-parity-ppp].[PPP].[All]" dimensionUniqueName="[purchasing-power-parity-ppp]" displayFolder="" count="0" memberValueDatatype="5" unbalanced="0"/>
    <cacheHierarchy uniqueName="[QualityofLife].[Region of Residence]" caption="Region of Residence" attribute="1" defaultMemberUniqueName="[QualityofLife].[Region of Residence].[All]" allUniqueName="[QualityofLife].[Region of Residence].[All]" dimensionUniqueName="[QualityofLife]" displayFolder="" count="0" memberValueDatatype="130" unbalanced="0"/>
    <cacheHierarchy uniqueName="[QualityofLife].[Life Expectancy]" caption="Life Expectancy" attribute="1" defaultMemberUniqueName="[QualityofLife].[Life Expectancy].[All]" allUniqueName="[QualityofLife].[Life Expectancy].[All]" dimensionUniqueName="[QualityofLife]" displayFolder="" count="0" memberValueDatatype="5" unbalanced="0"/>
    <cacheHierarchy uniqueName="[QualityofLife].[Education Index (Literacy or school enrollment)]" caption="Education Index (Literacy or school enrollment)" attribute="1" defaultMemberUniqueName="[QualityofLife].[Education Index (Literacy or school enrollment)].[All]" allUniqueName="[QualityofLife].[Education Index (Literacy or school enrollment)].[All]" dimensionUniqueName="[QualityofLife]" displayFolder="" count="0" memberValueDatatype="5" unbalanced="0"/>
    <cacheHierarchy uniqueName="[QualityofLife].[GDP per capita]" caption="GDP per capita" attribute="1" defaultMemberUniqueName="[QualityofLife].[GDP per capita].[All]" allUniqueName="[QualityofLife].[GDP per capita].[All]" dimensionUniqueName="[QualityofLife]" displayFolder="" count="0" memberValueDatatype="20" unbalanced="0"/>
    <cacheHierarchy uniqueName="[QualityofLife].[Safety Rate]" caption="Safety Rate" attribute="1" defaultMemberUniqueName="[QualityofLife].[Safety Rate].[All]" allUniqueName="[QualityofLife].[Safety Rate].[All]" dimensionUniqueName="[QualityofLife]" displayFolder="" count="0" memberValueDatatype="5" unbalanced="0"/>
    <cacheHierarchy uniqueName="[QualityofLife].[Pollution Index]" caption="Pollution Index" attribute="1" defaultMemberUniqueName="[QualityofLife].[Pollution Index].[All]" allUniqueName="[QualityofLife].[Pollution Index].[All]" dimensionUniqueName="[QualityofLife]" displayFolder="" count="0" memberValueDatatype="5" unbalanced="0"/>
    <cacheHierarchy uniqueName="[QualityofLife].[Climate Index]" caption="Climate Index" attribute="1" defaultMemberUniqueName="[QualityofLife].[Climate Index].[All]" allUniqueName="[QualityofLife].[Climate Index].[All]" dimensionUniqueName="[QualityofLife]" displayFolder="" count="0" memberValueDatatype="5" unbalanced="0"/>
    <cacheHierarchy uniqueName="[QualityofLife].[Property price to income ratio]" caption="Property price to income ratio" attribute="1" defaultMemberUniqueName="[QualityofLife].[Property price to income ratio].[All]" allUniqueName="[QualityofLife].[Property price to income ratio].[All]" dimensionUniqueName="[QualityofLife]" displayFolder="" count="0" memberValueDatatype="5" unbalanced="0"/>
    <cacheHierarchy uniqueName="[QualityofLife].[Traffic commute time index]" caption="Traffic commute time index" attribute="1" defaultMemberUniqueName="[QualityofLife].[Traffic commute time index].[All]" allUniqueName="[QualityofLife].[Traffic commute time index].[All]" dimensionUniqueName="[QualityofLife]" displayFolder="" count="0" memberValueDatatype="5" unbalanced="0"/>
    <cacheHierarchy uniqueName="[QualityofLife].[Personal Freedom and Human Rights]" caption="Personal Freedom and Human Rights" attribute="1" defaultMemberUniqueName="[QualityofLife].[Personal Freedom and Human Rights].[All]" allUniqueName="[QualityofLife].[Personal Freedom and Human Rights].[All]" dimensionUniqueName="[QualityofLife]" displayFolder="" count="0" memberValueDatatype="5" unbalanced="0"/>
    <cacheHierarchy uniqueName="[Region].[Region of Residence]" caption="Region of Residence" attribute="1" defaultMemberUniqueName="[Region].[Region of Residence].[All]" allUniqueName="[Region].[Region of Residence].[All]" dimensionUniqueName="[Region]" displayFolder="" count="2" memberValueDatatype="130" unbalanced="0">
      <fieldsUsage count="2">
        <fieldUsage x="-1"/>
        <fieldUsage x="2"/>
      </fieldsUsage>
    </cacheHierarchy>
    <cacheHierarchy uniqueName="[Measures].[__XL_Count BusinessEnvironment]" caption="__XL_Count BusinessEnvironment" measure="1" displayFolder="" measureGroup="BusinessEnvironment" count="0" hidden="1"/>
    <cacheHierarchy uniqueName="[Measures].[__XL_Count Cost]" caption="__XL_Count Cost" measure="1" displayFolder="" measureGroup="Cost" count="0" hidden="1"/>
    <cacheHierarchy uniqueName="[Measures].[__XL_Count Healthcare]" caption="__XL_Count Healthcare" measure="1" displayFolder="" measureGroup="Healthcare" count="0" hidden="1"/>
    <cacheHierarchy uniqueName="[Measures].[__XL_Count Internet]" caption="__XL_Count Internet" measure="1" displayFolder="" measureGroup="Internet" count="0" hidden="1"/>
    <cacheHierarchy uniqueName="[Measures].[__XL_Count QualityofLife]" caption="__XL_Count QualityofLife" measure="1" displayFolder="" measureGroup="QualityofLife" count="0" hidden="1"/>
    <cacheHierarchy uniqueName="[Measures].[__XL_Count Region]" caption="__XL_Count Region" measure="1" displayFolder="" measureGroup="Region" count="0" hidden="1"/>
    <cacheHierarchy uniqueName="[Measures].[__XL_Count purchasing-power-parity-ppp]" caption="__XL_Count purchasing-power-parity-ppp" measure="1" displayFolder="" measureGroup="purchasing-power-parity-ppp" count="0" hidden="1"/>
    <cacheHierarchy uniqueName="[Measures].[__XL_Count purchasing_power_parity_ppp]" caption="__XL_Count purchasing_power_parity_ppp" measure="1" displayFolder="" measureGroup="purchasing_power_parity_ppp" count="0" hidden="1"/>
    <cacheHierarchy uniqueName="[Measures].[__No measures defined]" caption="__No measures defined" measure="1" displayFolder="" count="0" hidden="1"/>
    <cacheHierarchy uniqueName="[Measures].[Sum of Healthcare]" caption="Sum of Healthcare" measure="1" displayFolder="" measureGroup="Cost" count="0" hidden="1">
      <extLst>
        <ext xmlns:x15="http://schemas.microsoft.com/office/spreadsheetml/2010/11/main" uri="{B97F6D7D-B522-45F9-BDA1-12C45D357490}">
          <x15:cacheHierarchy aggregatedColumn="13"/>
        </ext>
      </extLst>
    </cacheHierarchy>
    <cacheHierarchy uniqueName="[Measures].[Sum of Corruption Index]" caption="Sum of Corruption Index" measure="1" displayFolder="" measureGroup="BusinessEnvironment" count="0" hidden="1">
      <extLst>
        <ext xmlns:x15="http://schemas.microsoft.com/office/spreadsheetml/2010/11/main" uri="{B97F6D7D-B522-45F9-BDA1-12C45D357490}">
          <x15:cacheHierarchy aggregatedColumn="4"/>
        </ext>
      </extLst>
    </cacheHierarchy>
    <cacheHierarchy uniqueName="[Measures].[Sum of Intellectual Property Protection Index]" caption="Sum of Intellectual Property Protection Index" measure="1" displayFolder="" measureGroup="BusinessEnvironment" count="0" hidden="1">
      <extLst>
        <ext xmlns:x15="http://schemas.microsoft.com/office/spreadsheetml/2010/11/main" uri="{B97F6D7D-B522-45F9-BDA1-12C45D357490}">
          <x15:cacheHierarchy aggregatedColumn="5"/>
        </ext>
      </extLst>
    </cacheHierarchy>
    <cacheHierarchy uniqueName="[Measures].[Sum of Stock Market Cap (Million)]" caption="Sum of Stock Market Cap (Million)" measure="1" displayFolder="" measureGroup="BusinessEnvironment" count="0" hidden="1">
      <extLst>
        <ext xmlns:x15="http://schemas.microsoft.com/office/spreadsheetml/2010/11/main" uri="{B97F6D7D-B522-45F9-BDA1-12C45D357490}">
          <x15:cacheHierarchy aggregatedColumn="6"/>
        </ext>
      </extLst>
    </cacheHierarchy>
    <cacheHierarchy uniqueName="[Measures].[Sum of Internet Penetration Rate]" caption="Sum of Internet Penetration Rate" measure="1" displayFolder="" measureGroup="Internet" count="0" hidden="1"/>
    <cacheHierarchy uniqueName="[Measures].[Sum of Cost per Mbps]" caption="Sum of Cost per Mbps" measure="1" displayFolder="" measureGroup="Internet" count="0" hidden="1">
      <extLst>
        <ext xmlns:x15="http://schemas.microsoft.com/office/spreadsheetml/2010/11/main" uri="{B97F6D7D-B522-45F9-BDA1-12C45D357490}">
          <x15:cacheHierarchy aggregatedColumn="29"/>
        </ext>
      </extLst>
    </cacheHierarchy>
    <cacheHierarchy uniqueName="[Measures].[Sum of Hospital Bed Density]" caption="Sum of Hospital Bed Density" measure="1" displayFolder="" measureGroup="Healthcare" count="0" hidden="1"/>
    <cacheHierarchy uniqueName="[Measures].[Sum of Doctors (per 10000)]" caption="Sum of Doctors (per 10000)" measure="1" displayFolder="" measureGroup="Healthcare" count="0" hidden="1">
      <extLst>
        <ext xmlns:x15="http://schemas.microsoft.com/office/spreadsheetml/2010/11/main" uri="{B97F6D7D-B522-45F9-BDA1-12C45D357490}">
          <x15:cacheHierarchy aggregatedColumn="23"/>
        </ext>
      </extLst>
    </cacheHierarchy>
    <cacheHierarchy uniqueName="[Measures].[Sum of Education]" caption="Sum of Education" measure="1" displayFolder="" measureGroup="Cost" count="0" hidden="1">
      <extLst>
        <ext xmlns:x15="http://schemas.microsoft.com/office/spreadsheetml/2010/11/main" uri="{B97F6D7D-B522-45F9-BDA1-12C45D357490}">
          <x15:cacheHierarchy aggregatedColumn="14"/>
        </ext>
      </extLst>
    </cacheHierarchy>
    <cacheHierarchy uniqueName="[Measures].[Sum of Climate Index]" caption="Sum of Climate Index" measure="1" displayFolder="" measureGroup="QualityofLife" count="0" hidden="1">
      <extLst>
        <ext xmlns:x15="http://schemas.microsoft.com/office/spreadsheetml/2010/11/main" uri="{B97F6D7D-B522-45F9-BDA1-12C45D357490}">
          <x15:cacheHierarchy aggregatedColumn="47"/>
        </ext>
      </extLst>
    </cacheHierarchy>
    <cacheHierarchy uniqueName="[Measures].[Sum of Median Income]" caption="Sum of Median Income" measure="1" displayFolder="" measureGroup="BusinessEnvironment" count="0" hidden="1">
      <extLst>
        <ext xmlns:x15="http://schemas.microsoft.com/office/spreadsheetml/2010/11/main" uri="{B97F6D7D-B522-45F9-BDA1-12C45D357490}">
          <x15:cacheHierarchy aggregatedColumn="7"/>
        </ext>
      </extLst>
    </cacheHierarchy>
    <cacheHierarchy uniqueName="[Measures].[Sum of Transportation Index]" caption="Sum of Transportation Index" measure="1" displayFolder="" measureGroup="BusinessEnvironment" count="0" hidden="1">
      <extLst>
        <ext xmlns:x15="http://schemas.microsoft.com/office/spreadsheetml/2010/11/main" uri="{B97F6D7D-B522-45F9-BDA1-12C45D357490}">
          <x15:cacheHierarchy aggregatedColumn="8"/>
        </ext>
      </extLst>
    </cacheHierarchy>
    <cacheHierarchy uniqueName="[Measures].[Sum of Healthcare Access and Quality]" caption="Sum of Healthcare Access and Quality" measure="1" displayFolder="" measureGroup="Healthcare" count="0" hidden="1">
      <extLst>
        <ext xmlns:x15="http://schemas.microsoft.com/office/spreadsheetml/2010/11/main" uri="{B97F6D7D-B522-45F9-BDA1-12C45D357490}">
          <x15:cacheHierarchy aggregatedColumn="26"/>
        </ext>
      </extLst>
    </cacheHierarchy>
    <cacheHierarchy uniqueName="[Measures].[Sum of Internet Speed (Mbps)]" caption="Sum of Internet Speed (Mbps)" measure="1" displayFolder="" measureGroup="Internet" count="0" hidden="1">
      <extLst>
        <ext xmlns:x15="http://schemas.microsoft.com/office/spreadsheetml/2010/11/main" uri="{B97F6D7D-B522-45F9-BDA1-12C45D357490}">
          <x15:cacheHierarchy aggregatedColumn="28"/>
        </ext>
      </extLst>
    </cacheHierarchy>
    <cacheHierarchy uniqueName="[Measures].[Sum of Corporate Tax rates]" caption="Sum of Corporate Tax rates" measure="1" displayFolder="" measureGroup="BusinessEnvironment"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Education Index (Literacy or school enrollment)]" caption="Sum of Education Index (Literacy or school enrollment)" measure="1" displayFolder="" measureGroup="QualityofLife" count="0" hidden="1">
      <extLst>
        <ext xmlns:x15="http://schemas.microsoft.com/office/spreadsheetml/2010/11/main" uri="{B97F6D7D-B522-45F9-BDA1-12C45D357490}">
          <x15:cacheHierarchy aggregatedColumn="43"/>
        </ext>
      </extLst>
    </cacheHierarchy>
    <cacheHierarchy uniqueName="[Measures].[Sum of Housing Price to Income Ratio]" caption="Sum of Housing Price to Income Ratio" measure="1" displayFolder="" measureGroup="Cost" count="0" hidden="1">
      <extLst>
        <ext xmlns:x15="http://schemas.microsoft.com/office/spreadsheetml/2010/11/main" uri="{B97F6D7D-B522-45F9-BDA1-12C45D357490}">
          <x15:cacheHierarchy aggregatedColumn="10"/>
        </ext>
      </extLst>
    </cacheHierarchy>
    <cacheHierarchy uniqueName="[Measures].[Sum of Food]" caption="Sum of Food" measure="1" displayFolder="" measureGroup="Cost" count="0" hidden="1">
      <extLst>
        <ext xmlns:x15="http://schemas.microsoft.com/office/spreadsheetml/2010/11/main" uri="{B97F6D7D-B522-45F9-BDA1-12C45D357490}">
          <x15:cacheHierarchy aggregatedColumn="11"/>
        </ext>
      </extLst>
    </cacheHierarchy>
    <cacheHierarchy uniqueName="[Measures].[Sum of Property price to income ratio]" caption="Sum of Property price to income ratio" measure="1" displayFolder="" measureGroup="QualityofLife" count="0" hidden="1">
      <extLst>
        <ext xmlns:x15="http://schemas.microsoft.com/office/spreadsheetml/2010/11/main" uri="{B97F6D7D-B522-45F9-BDA1-12C45D357490}">
          <x15:cacheHierarchy aggregatedColumn="48"/>
        </ext>
      </extLst>
    </cacheHierarchy>
    <cacheHierarchy uniqueName="[Measures].[Sum of GDP per capita]" caption="Sum of GDP per capita" measure="1" displayFolder="" measureGroup="QualityofLife" count="0" hidden="1">
      <extLst>
        <ext xmlns:x15="http://schemas.microsoft.com/office/spreadsheetml/2010/11/main" uri="{B97F6D7D-B522-45F9-BDA1-12C45D357490}">
          <x15:cacheHierarchy aggregatedColumn="44"/>
        </ext>
      </extLst>
    </cacheHierarchy>
    <cacheHierarchy uniqueName="[Measures].[Sum of Innovation Ranking]" caption="Sum of Innovation Ranking" measure="1" displayFolder="" measureGroup="BusinessEnvironment" count="0" hidden="1">
      <extLst>
        <ext xmlns:x15="http://schemas.microsoft.com/office/spreadsheetml/2010/11/main" uri="{B97F6D7D-B522-45F9-BDA1-12C45D357490}">
          <x15:cacheHierarchy aggregatedColumn="3"/>
        </ext>
      </extLst>
    </cacheHierarchy>
    <cacheHierarchy uniqueName="[Measures].[Sum of Ease of doing business Index]" caption="Sum of Ease of doing business Index" measure="1" displayFolder="" measureGroup="BusinessEnvironment" count="0" hidden="1">
      <extLst>
        <ext xmlns:x15="http://schemas.microsoft.com/office/spreadsheetml/2010/11/main" uri="{B97F6D7D-B522-45F9-BDA1-12C45D357490}">
          <x15:cacheHierarchy aggregatedColumn="1"/>
        </ext>
      </extLst>
    </cacheHierarchy>
    <cacheHierarchy uniqueName="[Measures].[Sum of Health Insurance Coverage]" caption="Sum of Health Insurance Coverage" measure="1" displayFolder="" measureGroup="Healthcare" count="0" hidden="1">
      <extLst>
        <ext xmlns:x15="http://schemas.microsoft.com/office/spreadsheetml/2010/11/main" uri="{B97F6D7D-B522-45F9-BDA1-12C45D357490}">
          <x15:cacheHierarchy aggregatedColumn="22"/>
        </ext>
      </extLst>
    </cacheHierarchy>
    <cacheHierarchy uniqueName="[Measures].[Sum of PPP]" caption="Sum of PPP" measure="1" displayFolder="" measureGroup="purchasing_power_parity_ppp"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purchasing_power_parity_ppp" count="0" hidden="1">
      <extLst>
        <ext xmlns:x15="http://schemas.microsoft.com/office/spreadsheetml/2010/11/main" uri="{B97F6D7D-B522-45F9-BDA1-12C45D357490}">
          <x15:cacheHierarchy aggregatedColumn="35"/>
        </ext>
      </extLst>
    </cacheHierarchy>
  </cacheHierarchies>
  <kpis count="0"/>
  <dimensions count="9">
    <dimension name="BusinessEnvironment" uniqueName="[BusinessEnvironment]" caption="BusinessEnvironment"/>
    <dimension name="Cost" uniqueName="[Cost]" caption="Cost"/>
    <dimension name="Healthcare" uniqueName="[Healthcare]" caption="Healthcare"/>
    <dimension name="Internet" uniqueName="[Internet]" caption="Internet"/>
    <dimension measure="1" name="Measures" uniqueName="[Measures]" caption="Measures"/>
    <dimension name="purchasing_power_parity_ppp" uniqueName="[purchasing_power_parity_ppp]" caption="purchasing_power_parity_ppp"/>
    <dimension name="purchasing-power-parity-ppp" uniqueName="[purchasing-power-parity-ppp]" caption="purchasing-power-parity-ppp"/>
    <dimension name="QualityofLife" uniqueName="[QualityofLife]" caption="QualityofLife"/>
    <dimension name="Region" uniqueName="[Region]" caption="Region"/>
  </dimensions>
  <measureGroups count="8">
    <measureGroup name="BusinessEnvironment" caption="BusinessEnvironment"/>
    <measureGroup name="Cost" caption="Cost"/>
    <measureGroup name="Healthcare" caption="Healthcare"/>
    <measureGroup name="Internet" caption="Internet"/>
    <measureGroup name="purchasing_power_parity_ppp" caption="purchasing_power_parity_ppp"/>
    <measureGroup name="purchasing-power-parity-ppp" caption="purchasing-power-parity-ppp"/>
    <measureGroup name="QualityofLife" caption="QualityofLife"/>
    <measureGroup name="Region" caption="Region"/>
  </measureGroups>
  <maps count="13">
    <map measureGroup="0" dimension="0"/>
    <map measureGroup="0" dimension="8"/>
    <map measureGroup="1" dimension="1"/>
    <map measureGroup="1" dimension="8"/>
    <map measureGroup="2" dimension="2"/>
    <map measureGroup="2" dimension="8"/>
    <map measureGroup="3" dimension="3"/>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62.413484837962" backgroundQuery="1" createdVersion="8" refreshedVersion="8" minRefreshableVersion="3" recordCount="0" supportSubquery="1" supportAdvancedDrill="1" xr:uid="{3F38566D-3653-4ECD-9C88-F6170D9C873C}">
  <cacheSource type="external" connectionId="3"/>
  <cacheFields count="5">
    <cacheField name="[Cost].[Region of Residence].[Region of Residence]" caption="Region of Residence" numFmtId="0" hierarchy="9" level="1">
      <sharedItems count="5">
        <s v="Hong Kong"/>
        <s v="Kazakhstan"/>
        <s v="Pakistan"/>
        <s v="United States"/>
        <s v="Vietnam"/>
      </sharedItems>
    </cacheField>
    <cacheField name="[Measures].[Sum of Food]" caption="Sum of Food" numFmtId="0" hierarchy="78" level="32767"/>
    <cacheField name="[Measures].[Sum of Healthcare]" caption="Sum of Healthcare" numFmtId="0" hierarchy="61" level="32767"/>
    <cacheField name="[Measures].[Sum of Education]" caption="Sum of Education" numFmtId="0" hierarchy="69" level="32767"/>
    <cacheField name="[Region].[Region of Residence].[Region of Residence]" caption="Region of Residence" numFmtId="0" hierarchy="51" level="1">
      <sharedItems containsSemiMixedTypes="0" containsNonDate="0" containsString="0"/>
    </cacheField>
  </cacheFields>
  <cacheHierarchies count="86">
    <cacheHierarchy uniqueName="[BusinessEnvironment].[Region of Residence]" caption="Region of Residence" attribute="1" defaultMemberUniqueName="[BusinessEnvironment].[Region of Residence].[All]" allUniqueName="[BusinessEnvironment].[Region of Residence].[All]" dimensionUniqueName="[BusinessEnvironment]" displayFolder="" count="0" memberValueDatatype="130" unbalanced="0"/>
    <cacheHierarchy uniqueName="[BusinessEnvironment].[Ease of doing business Index]" caption="Ease of doing business Index" attribute="1" defaultMemberUniqueName="[BusinessEnvironment].[Ease of doing business Index].[All]" allUniqueName="[BusinessEnvironment].[Ease of doing business Index].[All]" dimensionUniqueName="[BusinessEnvironment]" displayFolder="" count="0" memberValueDatatype="5" unbalanced="0"/>
    <cacheHierarchy uniqueName="[BusinessEnvironment].[Corporate Tax rates]" caption="Corporate Tax rates" attribute="1" defaultMemberUniqueName="[BusinessEnvironment].[Corporate Tax rates].[All]" allUniqueName="[BusinessEnvironment].[Corporate Tax rates].[All]" dimensionUniqueName="[BusinessEnvironment]" displayFolder="" count="0" memberValueDatatype="5" unbalanced="0"/>
    <cacheHierarchy uniqueName="[BusinessEnvironment].[Innovation Ranking]" caption="Innovation Ranking" attribute="1" defaultMemberUniqueName="[BusinessEnvironment].[Innovation Ranking].[All]" allUniqueName="[BusinessEnvironment].[Innovation Ranking].[All]" dimensionUniqueName="[BusinessEnvironment]" displayFolder="" count="0" memberValueDatatype="20" unbalanced="0"/>
    <cacheHierarchy uniqueName="[BusinessEnvironment].[Corruption Index]" caption="Corruption Index" attribute="1" defaultMemberUniqueName="[BusinessEnvironment].[Corruption Index].[All]" allUniqueName="[BusinessEnvironment].[Corruption Index].[All]" dimensionUniqueName="[BusinessEnvironment]" displayFolder="" count="0" memberValueDatatype="20" unbalanced="0"/>
    <cacheHierarchy uniqueName="[BusinessEnvironment].[Intellectual Property Protection Index]" caption="Intellectual Property Protection Index" attribute="1" defaultMemberUniqueName="[BusinessEnvironment].[Intellectual Property Protection Index].[All]" allUniqueName="[BusinessEnvironment].[Intellectual Property Protection Index].[All]" dimensionUniqueName="[BusinessEnvironment]" displayFolder="" count="0" memberValueDatatype="5" unbalanced="0"/>
    <cacheHierarchy uniqueName="[BusinessEnvironment].[Stock Market Cap (Million)]" caption="Stock Market Cap (Million)" attribute="1" defaultMemberUniqueName="[BusinessEnvironment].[Stock Market Cap (Million)].[All]" allUniqueName="[BusinessEnvironment].[Stock Market Cap (Million)].[All]" dimensionUniqueName="[BusinessEnvironment]" displayFolder="" count="0" memberValueDatatype="20" unbalanced="0"/>
    <cacheHierarchy uniqueName="[BusinessEnvironment].[Median Income]" caption="Median Income" attribute="1" defaultMemberUniqueName="[BusinessEnvironment].[Median Income].[All]" allUniqueName="[BusinessEnvironment].[Median Income].[All]" dimensionUniqueName="[BusinessEnvironment]" displayFolder="" count="0" memberValueDatatype="20" unbalanced="0"/>
    <cacheHierarchy uniqueName="[BusinessEnvironment].[Transportation Index]" caption="Transportation Index" attribute="1" defaultMemberUniqueName="[BusinessEnvironment].[Transportation Index].[All]" allUniqueName="[BusinessEnvironment].[Transportation Index].[All]" dimensionUniqueName="[BusinessEnvironment]" displayFolder="" count="0" memberValueDatatype="5" unbalanced="0"/>
    <cacheHierarchy uniqueName="[Cost].[Region of Residence]" caption="Region of Residence" attribute="1" defaultMemberUniqueName="[Cost].[Region of Residence].[All]" allUniqueName="[Cost].[Region of Residence].[All]" dimensionUniqueName="[Cost]" displayFolder="" count="2" memberValueDatatype="130" unbalanced="0">
      <fieldsUsage count="2">
        <fieldUsage x="-1"/>
        <fieldUsage x="0"/>
      </fieldsUsage>
    </cacheHierarchy>
    <cacheHierarchy uniqueName="[Cost].[Housing Price to Income Ratio]" caption="Housing Price to Income Ratio" attribute="1" defaultMemberUniqueName="[Cost].[Housing Price to Income Ratio].[All]" allUniqueName="[Cost].[Housing Price to Income Ratio].[All]" dimensionUniqueName="[Cost]" displayFolder="" count="0" memberValueDatatype="5" unbalanced="0"/>
    <cacheHierarchy uniqueName="[Cost].[Food]" caption="Food" attribute="1" defaultMemberUniqueName="[Cost].[Food].[All]" allUniqueName="[Cost].[Food].[All]" dimensionUniqueName="[Cost]" displayFolder="" count="0" memberValueDatatype="5" unbalanced="0"/>
    <cacheHierarchy uniqueName="[Cost].[Transportation (One way bus fare)]" caption="Transportation (One way bus fare)" attribute="1" defaultMemberUniqueName="[Cost].[Transportation (One way bus fare)].[All]" allUniqueName="[Cost].[Transportation (One way bus fare)].[All]" dimensionUniqueName="[Cost]" displayFolder="" count="0" memberValueDatatype="5" unbalanced="0"/>
    <cacheHierarchy uniqueName="[Cost].[Healthcare]" caption="Healthcare" attribute="1" defaultMemberUniqueName="[Cost].[Healthcare].[All]" allUniqueName="[Cost].[Healthcare].[All]" dimensionUniqueName="[Cost]" displayFolder="" count="0" memberValueDatatype="5" unbalanced="0"/>
    <cacheHierarchy uniqueName="[Cost].[Education]" caption="Education" attribute="1" defaultMemberUniqueName="[Cost].[Education].[All]" allUniqueName="[Cost].[Education].[All]" dimensionUniqueName="[Cost]" displayFolder="" count="0" memberValueDatatype="5" unbalanced="0"/>
    <cacheHierarchy uniqueName="[Cost].[Inflation Rates]" caption="Inflation Rates" attribute="1" defaultMemberUniqueName="[Cost].[Inflation Rates].[All]" allUniqueName="[Cost].[Inflation Rates].[All]" dimensionUniqueName="[Cost]" displayFolder="" count="0" memberValueDatatype="5" unbalanced="0"/>
    <cacheHierarchy uniqueName="[Cost].[Currency Purchasing Power]" caption="Currency Purchasing Power" attribute="1" defaultMemberUniqueName="[Cost].[Currency Purchasing Power].[All]" allUniqueName="[Cost].[Currency Purchasing Power].[All]" dimensionUniqueName="[Cost]" displayFolder="" count="0" memberValueDatatype="5" unbalanced="0"/>
    <cacheHierarchy uniqueName="[Cost].[Average Personal Income Tax Rates]" caption="Average Personal Income Tax Rates" attribute="1" defaultMemberUniqueName="[Cost].[Average Personal Income Tax Rates].[All]" allUniqueName="[Cost].[Average Personal Income Tax Rates].[All]" dimensionUniqueName="[Cost]" displayFolder="" count="0" memberValueDatatype="5" unbalanced="0"/>
    <cacheHierarchy uniqueName="[Cost].[Cost of a Vacation (A week)]" caption="Cost of a Vacation (A week)" attribute="1" defaultMemberUniqueName="[Cost].[Cost of a Vacation (A week)].[All]" allUniqueName="[Cost].[Cost of a Vacation (A week)].[All]" dimensionUniqueName="[Cost]" displayFolder="" count="0" memberValueDatatype="20" unbalanced="0"/>
    <cacheHierarchy uniqueName="[Healthcare].[Region of Residence]" caption="Region of Residence" attribute="1" defaultMemberUniqueName="[Healthcare].[Region of Residence].[All]" allUniqueName="[Healthcare].[Region of Residence].[All]" dimensionUniqueName="[Healthcare]" displayFolder="" count="0" memberValueDatatype="130" unbalanced="0"/>
    <cacheHierarchy uniqueName="[Healthcare].[Physician Density (per 1000 people)]" caption="Physician Density (per 1000 people)" attribute="1" defaultMemberUniqueName="[Healthcare].[Physician Density (per 1000 people)].[All]" allUniqueName="[Healthcare].[Physician Density (per 1000 people)].[All]" dimensionUniqueName="[Healthcare]" displayFolder="" count="0" memberValueDatatype="5" unbalanced="0"/>
    <cacheHierarchy uniqueName="[Healthcare].[Hospital Bed Density]" caption="Hospital Bed Density" attribute="1" defaultMemberUniqueName="[Healthcare].[Hospital Bed Density].[All]" allUniqueName="[Healthcare].[Hospital Bed Density].[All]" dimensionUniqueName="[Healthcare]" displayFolder="" count="0" memberValueDatatype="5" unbalanced="0"/>
    <cacheHierarchy uniqueName="[Healthcare].[Health Insurance Coverage]" caption="Health Insurance Coverage" attribute="1" defaultMemberUniqueName="[Healthcare].[Health Insurance Coverage].[All]" allUniqueName="[Healthcare].[Health Insurance Coverage].[All]" dimensionUniqueName="[Healthcare]" displayFolder="" count="0" memberValueDatatype="5" unbalanced="0"/>
    <cacheHierarchy uniqueName="[Healthcare].[Doctors (per 10000)]" caption="Doctors (per 10000)" attribute="1" defaultMemberUniqueName="[Healthcare].[Doctors (per 10000)].[All]" allUniqueName="[Healthcare].[Doctors (per 10000)].[All]" dimensionUniqueName="[Healthcare]" displayFolder="" count="0" memberValueDatatype="5" unbalanced="0"/>
    <cacheHierarchy uniqueName="[Healthcare].[Health Care Index]" caption="Health Care Index" attribute="1" defaultMemberUniqueName="[Healthcare].[Health Care Index].[All]" allUniqueName="[Healthcare].[Health Care Index].[All]" dimensionUniqueName="[Healthcare]" displayFolder="" count="0" memberValueDatatype="5" unbalanced="0"/>
    <cacheHierarchy uniqueName="[Healthcare].[Pollution Index]" caption="Pollution Index" attribute="1" defaultMemberUniqueName="[Healthcare].[Pollution Index].[All]" allUniqueName="[Healthcare].[Pollution Index].[All]" dimensionUniqueName="[Healthcare]" displayFolder="" count="0" memberValueDatatype="5" unbalanced="0"/>
    <cacheHierarchy uniqueName="[Healthcare].[Healthcare Access and Quality]" caption="Healthcare Access and Quality" attribute="1" defaultMemberUniqueName="[Healthcare].[Healthcare Access and Quality].[All]" allUniqueName="[Healthcare].[Healthcare Access and Quality].[All]" dimensionUniqueName="[Healthcare]" displayFolder="" count="0" memberValueDatatype="5" unbalanced="0"/>
    <cacheHierarchy uniqueName="[Internet].[Region of Residence]" caption="Region of Residence" attribute="1" defaultMemberUniqueName="[Internet].[Region of Residence].[All]" allUniqueName="[Internet].[Region of Residence].[All]" dimensionUniqueName="[Internet]" displayFolder="" count="0" memberValueDatatype="130" unbalanced="0"/>
    <cacheHierarchy uniqueName="[Internet].[Internet Speed (Mbps)]" caption="Internet Speed (Mbps)" attribute="1" defaultMemberUniqueName="[Internet].[Internet Speed (Mbps)].[All]" allUniqueName="[Internet].[Internet Speed (Mbps)].[All]" dimensionUniqueName="[Internet]" displayFolder="" count="0" memberValueDatatype="5" unbalanced="0"/>
    <cacheHierarchy uniqueName="[Internet].[Cost per Mbps]" caption="Cost per Mbps" attribute="1" defaultMemberUniqueName="[Internet].[Cost per Mbps].[All]" allUniqueName="[Internet].[Cost per Mbps].[All]" dimensionUniqueName="[Internet]" displayFolder="" count="0" memberValueDatatype="5" unbalanced="0"/>
    <cacheHierarchy uniqueName="[Internet].[Internet Penetration Rate]" caption="Internet Penetration Rate" attribute="1" defaultMemberUniqueName="[Internet].[Internet Penetration Rate].[All]" allUniqueName="[Internet].[Internet Penetration Rate].[All]" dimensionUniqueName="[Internet]" displayFolder="" count="0" memberValueDatatype="5" unbalanced="0"/>
    <cacheHierarchy uniqueName="[Internet].[Internet Censorship Index]" caption="Internet Censorship Index" attribute="1" defaultMemberUniqueName="[Internet].[Internet Censorship Index].[All]" allUniqueName="[Internet].[Internet Censorship Index].[All]" dimensionUniqueName="[Internet]" displayFolder="" count="0" memberValueDatatype="20" unbalanced="0"/>
    <cacheHierarchy uniqueName="[Internet].[Cybersecurity Index]" caption="Cybersecurity Index" attribute="1" defaultMemberUniqueName="[Internet].[Cybersecurity Index].[All]" allUniqueName="[Internet].[Cybersecurity Index].[All]" dimensionUniqueName="[Internet]" displayFolder="" count="0" memberValueDatatype="5" unbalanced="0"/>
    <cacheHierarchy uniqueName="[purchasing_power_parity_ppp].[Country]" caption="Country" attribute="1" defaultMemberUniqueName="[purchasing_power_parity_ppp].[Country].[All]" allUniqueName="[purchasing_power_parity_ppp].[Country].[All]" dimensionUniqueName="[purchasing_power_parity_ppp]" displayFolder="" count="0" memberValueDatatype="130" unbalanced="0"/>
    <cacheHierarchy uniqueName="[purchasing_power_parity_ppp].[Indicator Name]" caption="Indicator Name" attribute="1" defaultMemberUniqueName="[purchasing_power_parity_ppp].[Indicator Name].[All]" allUniqueName="[purchasing_power_parity_ppp].[Indicator Name].[All]" dimensionUniqueName="[purchasing_power_parity_ppp]" displayFolder="" count="0" memberValueDatatype="130" unbalanced="0"/>
    <cacheHierarchy uniqueName="[purchasing_power_parity_ppp].[Year]" caption="Year" attribute="1" defaultMemberUniqueName="[purchasing_power_parity_ppp].[Year].[All]" allUniqueName="[purchasing_power_parity_ppp].[Year].[All]" dimensionUniqueName="[purchasing_power_parity_ppp]" displayFolder="" count="0" memberValueDatatype="20" unbalanced="0"/>
    <cacheHierarchy uniqueName="[purchasing_power_parity_ppp].[PPP]" caption="PPP" attribute="1" defaultMemberUniqueName="[purchasing_power_parity_ppp].[PPP].[All]" allUniqueName="[purchasing_power_parity_ppp].[PPP].[All]" dimensionUniqueName="[purchasing_power_parity_ppp]" displayFolder="" count="0" memberValueDatatype="5" unbalanced="0"/>
    <cacheHierarchy uniqueName="[purchasing-power-parity-ppp].[Country]" caption="Country" attribute="1" defaultMemberUniqueName="[purchasing-power-parity-ppp].[Country].[All]" allUniqueName="[purchasing-power-parity-ppp].[Country].[All]" dimensionUniqueName="[purchasing-power-parity-ppp]" displayFolder="" count="0" memberValueDatatype="130" unbalanced="0"/>
    <cacheHierarchy uniqueName="[purchasing-power-parity-ppp].[Indicator Name]" caption="Indicator Name" attribute="1" defaultMemberUniqueName="[purchasing-power-parity-ppp].[Indicator Name].[All]" allUniqueName="[purchasing-power-parity-ppp].[Indicator Name].[All]" dimensionUniqueName="[purchasing-power-parity-ppp]" displayFolder="" count="0" memberValueDatatype="130" unbalanced="0"/>
    <cacheHierarchy uniqueName="[purchasing-power-parity-ppp].[Year]" caption="Year" attribute="1" defaultMemberUniqueName="[purchasing-power-parity-ppp].[Year].[All]" allUniqueName="[purchasing-power-parity-ppp].[Year].[All]" dimensionUniqueName="[purchasing-power-parity-ppp]" displayFolder="" count="0" memberValueDatatype="20" unbalanced="0"/>
    <cacheHierarchy uniqueName="[purchasing-power-parity-ppp].[PPP]" caption="PPP" attribute="1" defaultMemberUniqueName="[purchasing-power-parity-ppp].[PPP].[All]" allUniqueName="[purchasing-power-parity-ppp].[PPP].[All]" dimensionUniqueName="[purchasing-power-parity-ppp]" displayFolder="" count="0" memberValueDatatype="5" unbalanced="0"/>
    <cacheHierarchy uniqueName="[QualityofLife].[Region of Residence]" caption="Region of Residence" attribute="1" defaultMemberUniqueName="[QualityofLife].[Region of Residence].[All]" allUniqueName="[QualityofLife].[Region of Residence].[All]" dimensionUniqueName="[QualityofLife]" displayFolder="" count="0" memberValueDatatype="130" unbalanced="0"/>
    <cacheHierarchy uniqueName="[QualityofLife].[Life Expectancy]" caption="Life Expectancy" attribute="1" defaultMemberUniqueName="[QualityofLife].[Life Expectancy].[All]" allUniqueName="[QualityofLife].[Life Expectancy].[All]" dimensionUniqueName="[QualityofLife]" displayFolder="" count="0" memberValueDatatype="5" unbalanced="0"/>
    <cacheHierarchy uniqueName="[QualityofLife].[Education Index (Literacy or school enrollment)]" caption="Education Index (Literacy or school enrollment)" attribute="1" defaultMemberUniqueName="[QualityofLife].[Education Index (Literacy or school enrollment)].[All]" allUniqueName="[QualityofLife].[Education Index (Literacy or school enrollment)].[All]" dimensionUniqueName="[QualityofLife]" displayFolder="" count="0" memberValueDatatype="5" unbalanced="0"/>
    <cacheHierarchy uniqueName="[QualityofLife].[GDP per capita]" caption="GDP per capita" attribute="1" defaultMemberUniqueName="[QualityofLife].[GDP per capita].[All]" allUniqueName="[QualityofLife].[GDP per capita].[All]" dimensionUniqueName="[QualityofLife]" displayFolder="" count="0" memberValueDatatype="20" unbalanced="0"/>
    <cacheHierarchy uniqueName="[QualityofLife].[Safety Rate]" caption="Safety Rate" attribute="1" defaultMemberUniqueName="[QualityofLife].[Safety Rate].[All]" allUniqueName="[QualityofLife].[Safety Rate].[All]" dimensionUniqueName="[QualityofLife]" displayFolder="" count="0" memberValueDatatype="5" unbalanced="0"/>
    <cacheHierarchy uniqueName="[QualityofLife].[Pollution Index]" caption="Pollution Index" attribute="1" defaultMemberUniqueName="[QualityofLife].[Pollution Index].[All]" allUniqueName="[QualityofLife].[Pollution Index].[All]" dimensionUniqueName="[QualityofLife]" displayFolder="" count="0" memberValueDatatype="5" unbalanced="0"/>
    <cacheHierarchy uniqueName="[QualityofLife].[Climate Index]" caption="Climate Index" attribute="1" defaultMemberUniqueName="[QualityofLife].[Climate Index].[All]" allUniqueName="[QualityofLife].[Climate Index].[All]" dimensionUniqueName="[QualityofLife]" displayFolder="" count="0" memberValueDatatype="5" unbalanced="0"/>
    <cacheHierarchy uniqueName="[QualityofLife].[Property price to income ratio]" caption="Property price to income ratio" attribute="1" defaultMemberUniqueName="[QualityofLife].[Property price to income ratio].[All]" allUniqueName="[QualityofLife].[Property price to income ratio].[All]" dimensionUniqueName="[QualityofLife]" displayFolder="" count="0" memberValueDatatype="5" unbalanced="0"/>
    <cacheHierarchy uniqueName="[QualityofLife].[Traffic commute time index]" caption="Traffic commute time index" attribute="1" defaultMemberUniqueName="[QualityofLife].[Traffic commute time index].[All]" allUniqueName="[QualityofLife].[Traffic commute time index].[All]" dimensionUniqueName="[QualityofLife]" displayFolder="" count="0" memberValueDatatype="5" unbalanced="0"/>
    <cacheHierarchy uniqueName="[QualityofLife].[Personal Freedom and Human Rights]" caption="Personal Freedom and Human Rights" attribute="1" defaultMemberUniqueName="[QualityofLife].[Personal Freedom and Human Rights].[All]" allUniqueName="[QualityofLife].[Personal Freedom and Human Rights].[All]" dimensionUniqueName="[QualityofLife]" displayFolder="" count="0" memberValueDatatype="5" unbalanced="0"/>
    <cacheHierarchy uniqueName="[Region].[Region of Residence]" caption="Region of Residence" attribute="1" defaultMemberUniqueName="[Region].[Region of Residence].[All]" allUniqueName="[Region].[Region of Residence].[All]" dimensionUniqueName="[Region]" displayFolder="" count="2" memberValueDatatype="130" unbalanced="0">
      <fieldsUsage count="2">
        <fieldUsage x="-1"/>
        <fieldUsage x="4"/>
      </fieldsUsage>
    </cacheHierarchy>
    <cacheHierarchy uniqueName="[Measures].[__XL_Count BusinessEnvironment]" caption="__XL_Count BusinessEnvironment" measure="1" displayFolder="" measureGroup="BusinessEnvironment" count="0" hidden="1"/>
    <cacheHierarchy uniqueName="[Measures].[__XL_Count Cost]" caption="__XL_Count Cost" measure="1" displayFolder="" measureGroup="Cost" count="0" hidden="1"/>
    <cacheHierarchy uniqueName="[Measures].[__XL_Count Healthcare]" caption="__XL_Count Healthcare" measure="1" displayFolder="" measureGroup="Healthcare" count="0" hidden="1"/>
    <cacheHierarchy uniqueName="[Measures].[__XL_Count Internet]" caption="__XL_Count Internet" measure="1" displayFolder="" measureGroup="Internet" count="0" hidden="1"/>
    <cacheHierarchy uniqueName="[Measures].[__XL_Count QualityofLife]" caption="__XL_Count QualityofLife" measure="1" displayFolder="" measureGroup="QualityofLife" count="0" hidden="1"/>
    <cacheHierarchy uniqueName="[Measures].[__XL_Count Region]" caption="__XL_Count Region" measure="1" displayFolder="" measureGroup="Region" count="0" hidden="1"/>
    <cacheHierarchy uniqueName="[Measures].[__XL_Count purchasing-power-parity-ppp]" caption="__XL_Count purchasing-power-parity-ppp" measure="1" displayFolder="" measureGroup="purchasing-power-parity-ppp" count="0" hidden="1"/>
    <cacheHierarchy uniqueName="[Measures].[__XL_Count purchasing_power_parity_ppp]" caption="__XL_Count purchasing_power_parity_ppp" measure="1" displayFolder="" measureGroup="purchasing_power_parity_ppp" count="0" hidden="1"/>
    <cacheHierarchy uniqueName="[Measures].[__No measures defined]" caption="__No measures defined" measure="1" displayFolder="" count="0" hidden="1"/>
    <cacheHierarchy uniqueName="[Measures].[Sum of Healthcare]" caption="Sum of Healthcare" measure="1" displayFolder="" measureGroup="Cost"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Corruption Index]" caption="Sum of Corruption Index" measure="1" displayFolder="" measureGroup="BusinessEnvironment" count="0" hidden="1">
      <extLst>
        <ext xmlns:x15="http://schemas.microsoft.com/office/spreadsheetml/2010/11/main" uri="{B97F6D7D-B522-45F9-BDA1-12C45D357490}">
          <x15:cacheHierarchy aggregatedColumn="4"/>
        </ext>
      </extLst>
    </cacheHierarchy>
    <cacheHierarchy uniqueName="[Measures].[Sum of Intellectual Property Protection Index]" caption="Sum of Intellectual Property Protection Index" measure="1" displayFolder="" measureGroup="BusinessEnvironment" count="0" hidden="1">
      <extLst>
        <ext xmlns:x15="http://schemas.microsoft.com/office/spreadsheetml/2010/11/main" uri="{B97F6D7D-B522-45F9-BDA1-12C45D357490}">
          <x15:cacheHierarchy aggregatedColumn="5"/>
        </ext>
      </extLst>
    </cacheHierarchy>
    <cacheHierarchy uniqueName="[Measures].[Sum of Stock Market Cap (Million)]" caption="Sum of Stock Market Cap (Million)" measure="1" displayFolder="" measureGroup="BusinessEnvironment" count="0" hidden="1">
      <extLst>
        <ext xmlns:x15="http://schemas.microsoft.com/office/spreadsheetml/2010/11/main" uri="{B97F6D7D-B522-45F9-BDA1-12C45D357490}">
          <x15:cacheHierarchy aggregatedColumn="6"/>
        </ext>
      </extLst>
    </cacheHierarchy>
    <cacheHierarchy uniqueName="[Measures].[Sum of Internet Penetration Rate]" caption="Sum of Internet Penetration Rate" measure="1" displayFolder="" measureGroup="Internet" count="0" hidden="1"/>
    <cacheHierarchy uniqueName="[Measures].[Sum of Cost per Mbps]" caption="Sum of Cost per Mbps" measure="1" displayFolder="" measureGroup="Internet" count="0" hidden="1">
      <extLst>
        <ext xmlns:x15="http://schemas.microsoft.com/office/spreadsheetml/2010/11/main" uri="{B97F6D7D-B522-45F9-BDA1-12C45D357490}">
          <x15:cacheHierarchy aggregatedColumn="29"/>
        </ext>
      </extLst>
    </cacheHierarchy>
    <cacheHierarchy uniqueName="[Measures].[Sum of Hospital Bed Density]" caption="Sum of Hospital Bed Density" measure="1" displayFolder="" measureGroup="Healthcare" count="0" hidden="1"/>
    <cacheHierarchy uniqueName="[Measures].[Sum of Doctors (per 10000)]" caption="Sum of Doctors (per 10000)" measure="1" displayFolder="" measureGroup="Healthcare" count="0" hidden="1">
      <extLst>
        <ext xmlns:x15="http://schemas.microsoft.com/office/spreadsheetml/2010/11/main" uri="{B97F6D7D-B522-45F9-BDA1-12C45D357490}">
          <x15:cacheHierarchy aggregatedColumn="23"/>
        </ext>
      </extLst>
    </cacheHierarchy>
    <cacheHierarchy uniqueName="[Measures].[Sum of Education]" caption="Sum of Education" measure="1" displayFolder="" measureGroup="Cost" count="0" oneField="1" hidden="1">
      <fieldsUsage count="1">
        <fieldUsage x="3"/>
      </fieldsUsage>
      <extLst>
        <ext xmlns:x15="http://schemas.microsoft.com/office/spreadsheetml/2010/11/main" uri="{B97F6D7D-B522-45F9-BDA1-12C45D357490}">
          <x15:cacheHierarchy aggregatedColumn="14"/>
        </ext>
      </extLst>
    </cacheHierarchy>
    <cacheHierarchy uniqueName="[Measures].[Sum of Climate Index]" caption="Sum of Climate Index" measure="1" displayFolder="" measureGroup="QualityofLife" count="0" hidden="1">
      <extLst>
        <ext xmlns:x15="http://schemas.microsoft.com/office/spreadsheetml/2010/11/main" uri="{B97F6D7D-B522-45F9-BDA1-12C45D357490}">
          <x15:cacheHierarchy aggregatedColumn="47"/>
        </ext>
      </extLst>
    </cacheHierarchy>
    <cacheHierarchy uniqueName="[Measures].[Sum of Median Income]" caption="Sum of Median Income" measure="1" displayFolder="" measureGroup="BusinessEnvironment" count="0" hidden="1">
      <extLst>
        <ext xmlns:x15="http://schemas.microsoft.com/office/spreadsheetml/2010/11/main" uri="{B97F6D7D-B522-45F9-BDA1-12C45D357490}">
          <x15:cacheHierarchy aggregatedColumn="7"/>
        </ext>
      </extLst>
    </cacheHierarchy>
    <cacheHierarchy uniqueName="[Measures].[Sum of Transportation Index]" caption="Sum of Transportation Index" measure="1" displayFolder="" measureGroup="BusinessEnvironment" count="0" hidden="1">
      <extLst>
        <ext xmlns:x15="http://schemas.microsoft.com/office/spreadsheetml/2010/11/main" uri="{B97F6D7D-B522-45F9-BDA1-12C45D357490}">
          <x15:cacheHierarchy aggregatedColumn="8"/>
        </ext>
      </extLst>
    </cacheHierarchy>
    <cacheHierarchy uniqueName="[Measures].[Sum of Healthcare Access and Quality]" caption="Sum of Healthcare Access and Quality" measure="1" displayFolder="" measureGroup="Healthcare" count="0" hidden="1">
      <extLst>
        <ext xmlns:x15="http://schemas.microsoft.com/office/spreadsheetml/2010/11/main" uri="{B97F6D7D-B522-45F9-BDA1-12C45D357490}">
          <x15:cacheHierarchy aggregatedColumn="26"/>
        </ext>
      </extLst>
    </cacheHierarchy>
    <cacheHierarchy uniqueName="[Measures].[Sum of Internet Speed (Mbps)]" caption="Sum of Internet Speed (Mbps)" measure="1" displayFolder="" measureGroup="Internet" count="0" hidden="1">
      <extLst>
        <ext xmlns:x15="http://schemas.microsoft.com/office/spreadsheetml/2010/11/main" uri="{B97F6D7D-B522-45F9-BDA1-12C45D357490}">
          <x15:cacheHierarchy aggregatedColumn="28"/>
        </ext>
      </extLst>
    </cacheHierarchy>
    <cacheHierarchy uniqueName="[Measures].[Sum of Corporate Tax rates]" caption="Sum of Corporate Tax rates" measure="1" displayFolder="" measureGroup="BusinessEnvironment" count="0" hidden="1">
      <extLst>
        <ext xmlns:x15="http://schemas.microsoft.com/office/spreadsheetml/2010/11/main" uri="{B97F6D7D-B522-45F9-BDA1-12C45D357490}">
          <x15:cacheHierarchy aggregatedColumn="2"/>
        </ext>
      </extLst>
    </cacheHierarchy>
    <cacheHierarchy uniqueName="[Measures].[Sum of Education Index (Literacy or school enrollment)]" caption="Sum of Education Index (Literacy or school enrollment)" measure="1" displayFolder="" measureGroup="QualityofLife" count="0" hidden="1">
      <extLst>
        <ext xmlns:x15="http://schemas.microsoft.com/office/spreadsheetml/2010/11/main" uri="{B97F6D7D-B522-45F9-BDA1-12C45D357490}">
          <x15:cacheHierarchy aggregatedColumn="43"/>
        </ext>
      </extLst>
    </cacheHierarchy>
    <cacheHierarchy uniqueName="[Measures].[Sum of Housing Price to Income Ratio]" caption="Sum of Housing Price to Income Ratio" measure="1" displayFolder="" measureGroup="Cost" count="0" hidden="1">
      <extLst>
        <ext xmlns:x15="http://schemas.microsoft.com/office/spreadsheetml/2010/11/main" uri="{B97F6D7D-B522-45F9-BDA1-12C45D357490}">
          <x15:cacheHierarchy aggregatedColumn="10"/>
        </ext>
      </extLst>
    </cacheHierarchy>
    <cacheHierarchy uniqueName="[Measures].[Sum of Food]" caption="Sum of Food" measure="1" displayFolder="" measureGroup="Cost"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Property price to income ratio]" caption="Sum of Property price to income ratio" measure="1" displayFolder="" measureGroup="QualityofLife" count="0" hidden="1">
      <extLst>
        <ext xmlns:x15="http://schemas.microsoft.com/office/spreadsheetml/2010/11/main" uri="{B97F6D7D-B522-45F9-BDA1-12C45D357490}">
          <x15:cacheHierarchy aggregatedColumn="48"/>
        </ext>
      </extLst>
    </cacheHierarchy>
    <cacheHierarchy uniqueName="[Measures].[Sum of GDP per capita]" caption="Sum of GDP per capita" measure="1" displayFolder="" measureGroup="QualityofLife" count="0" hidden="1">
      <extLst>
        <ext xmlns:x15="http://schemas.microsoft.com/office/spreadsheetml/2010/11/main" uri="{B97F6D7D-B522-45F9-BDA1-12C45D357490}">
          <x15:cacheHierarchy aggregatedColumn="44"/>
        </ext>
      </extLst>
    </cacheHierarchy>
    <cacheHierarchy uniqueName="[Measures].[Sum of Innovation Ranking]" caption="Sum of Innovation Ranking" measure="1" displayFolder="" measureGroup="BusinessEnvironment" count="0" hidden="1">
      <extLst>
        <ext xmlns:x15="http://schemas.microsoft.com/office/spreadsheetml/2010/11/main" uri="{B97F6D7D-B522-45F9-BDA1-12C45D357490}">
          <x15:cacheHierarchy aggregatedColumn="3"/>
        </ext>
      </extLst>
    </cacheHierarchy>
    <cacheHierarchy uniqueName="[Measures].[Sum of Ease of doing business Index]" caption="Sum of Ease of doing business Index" measure="1" displayFolder="" measureGroup="BusinessEnvironment" count="0" hidden="1">
      <extLst>
        <ext xmlns:x15="http://schemas.microsoft.com/office/spreadsheetml/2010/11/main" uri="{B97F6D7D-B522-45F9-BDA1-12C45D357490}">
          <x15:cacheHierarchy aggregatedColumn="1"/>
        </ext>
      </extLst>
    </cacheHierarchy>
    <cacheHierarchy uniqueName="[Measures].[Sum of Health Insurance Coverage]" caption="Sum of Health Insurance Coverage" measure="1" displayFolder="" measureGroup="Healthcare" count="0" hidden="1">
      <extLst>
        <ext xmlns:x15="http://schemas.microsoft.com/office/spreadsheetml/2010/11/main" uri="{B97F6D7D-B522-45F9-BDA1-12C45D357490}">
          <x15:cacheHierarchy aggregatedColumn="22"/>
        </ext>
      </extLst>
    </cacheHierarchy>
    <cacheHierarchy uniqueName="[Measures].[Sum of PPP]" caption="Sum of PPP" measure="1" displayFolder="" measureGroup="purchasing_power_parity_ppp"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purchasing_power_parity_ppp" count="0" hidden="1">
      <extLst>
        <ext xmlns:x15="http://schemas.microsoft.com/office/spreadsheetml/2010/11/main" uri="{B97F6D7D-B522-45F9-BDA1-12C45D357490}">
          <x15:cacheHierarchy aggregatedColumn="35"/>
        </ext>
      </extLst>
    </cacheHierarchy>
  </cacheHierarchies>
  <kpis count="0"/>
  <dimensions count="9">
    <dimension name="BusinessEnvironment" uniqueName="[BusinessEnvironment]" caption="BusinessEnvironment"/>
    <dimension name="Cost" uniqueName="[Cost]" caption="Cost"/>
    <dimension name="Healthcare" uniqueName="[Healthcare]" caption="Healthcare"/>
    <dimension name="Internet" uniqueName="[Internet]" caption="Internet"/>
    <dimension measure="1" name="Measures" uniqueName="[Measures]" caption="Measures"/>
    <dimension name="purchasing_power_parity_ppp" uniqueName="[purchasing_power_parity_ppp]" caption="purchasing_power_parity_ppp"/>
    <dimension name="purchasing-power-parity-ppp" uniqueName="[purchasing-power-parity-ppp]" caption="purchasing-power-parity-ppp"/>
    <dimension name="QualityofLife" uniqueName="[QualityofLife]" caption="QualityofLife"/>
    <dimension name="Region" uniqueName="[Region]" caption="Region"/>
  </dimensions>
  <measureGroups count="8">
    <measureGroup name="BusinessEnvironment" caption="BusinessEnvironment"/>
    <measureGroup name="Cost" caption="Cost"/>
    <measureGroup name="Healthcare" caption="Healthcare"/>
    <measureGroup name="Internet" caption="Internet"/>
    <measureGroup name="purchasing_power_parity_ppp" caption="purchasing_power_parity_ppp"/>
    <measureGroup name="purchasing-power-parity-ppp" caption="purchasing-power-parity-ppp"/>
    <measureGroup name="QualityofLife" caption="QualityofLife"/>
    <measureGroup name="Region" caption="Region"/>
  </measureGroups>
  <maps count="13">
    <map measureGroup="0" dimension="0"/>
    <map measureGroup="0" dimension="8"/>
    <map measureGroup="1" dimension="1"/>
    <map measureGroup="1" dimension="8"/>
    <map measureGroup="2" dimension="2"/>
    <map measureGroup="2" dimension="8"/>
    <map measureGroup="3" dimension="3"/>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62.413491435182" backgroundQuery="1" createdVersion="8" refreshedVersion="8" minRefreshableVersion="3" recordCount="0" supportSubquery="1" supportAdvancedDrill="1" xr:uid="{3DF814A3-24E9-4F91-A174-B861983A987C}">
  <cacheSource type="external" connectionId="3"/>
  <cacheFields count="2">
    <cacheField name="[purchasing_power_parity_ppp].[Country].[Country]" caption="Country" numFmtId="0" hierarchy="33" level="1">
      <sharedItems count="5">
        <s v="Hong Kong SAR, China"/>
        <s v="Kazakhstan"/>
        <s v="Pakistan"/>
        <s v="United States"/>
        <s v="Vietnam"/>
      </sharedItems>
    </cacheField>
    <cacheField name="[Measures].[Sum of PPP]" caption="Sum of PPP" numFmtId="0" hierarchy="84" level="32767"/>
  </cacheFields>
  <cacheHierarchies count="86">
    <cacheHierarchy uniqueName="[BusinessEnvironment].[Region of Residence]" caption="Region of Residence" attribute="1" defaultMemberUniqueName="[BusinessEnvironment].[Region of Residence].[All]" allUniqueName="[BusinessEnvironment].[Region of Residence].[All]" dimensionUniqueName="[BusinessEnvironment]" displayFolder="" count="0" memberValueDatatype="130" unbalanced="0"/>
    <cacheHierarchy uniqueName="[BusinessEnvironment].[Ease of doing business Index]" caption="Ease of doing business Index" attribute="1" defaultMemberUniqueName="[BusinessEnvironment].[Ease of doing business Index].[All]" allUniqueName="[BusinessEnvironment].[Ease of doing business Index].[All]" dimensionUniqueName="[BusinessEnvironment]" displayFolder="" count="0" memberValueDatatype="5" unbalanced="0"/>
    <cacheHierarchy uniqueName="[BusinessEnvironment].[Corporate Tax rates]" caption="Corporate Tax rates" attribute="1" defaultMemberUniqueName="[BusinessEnvironment].[Corporate Tax rates].[All]" allUniqueName="[BusinessEnvironment].[Corporate Tax rates].[All]" dimensionUniqueName="[BusinessEnvironment]" displayFolder="" count="0" memberValueDatatype="5" unbalanced="0"/>
    <cacheHierarchy uniqueName="[BusinessEnvironment].[Innovation Ranking]" caption="Innovation Ranking" attribute="1" defaultMemberUniqueName="[BusinessEnvironment].[Innovation Ranking].[All]" allUniqueName="[BusinessEnvironment].[Innovation Ranking].[All]" dimensionUniqueName="[BusinessEnvironment]" displayFolder="" count="0" memberValueDatatype="20" unbalanced="0"/>
    <cacheHierarchy uniqueName="[BusinessEnvironment].[Corruption Index]" caption="Corruption Index" attribute="1" defaultMemberUniqueName="[BusinessEnvironment].[Corruption Index].[All]" allUniqueName="[BusinessEnvironment].[Corruption Index].[All]" dimensionUniqueName="[BusinessEnvironment]" displayFolder="" count="0" memberValueDatatype="20" unbalanced="0"/>
    <cacheHierarchy uniqueName="[BusinessEnvironment].[Intellectual Property Protection Index]" caption="Intellectual Property Protection Index" attribute="1" defaultMemberUniqueName="[BusinessEnvironment].[Intellectual Property Protection Index].[All]" allUniqueName="[BusinessEnvironment].[Intellectual Property Protection Index].[All]" dimensionUniqueName="[BusinessEnvironment]" displayFolder="" count="0" memberValueDatatype="5" unbalanced="0"/>
    <cacheHierarchy uniqueName="[BusinessEnvironment].[Stock Market Cap (Million)]" caption="Stock Market Cap (Million)" attribute="1" defaultMemberUniqueName="[BusinessEnvironment].[Stock Market Cap (Million)].[All]" allUniqueName="[BusinessEnvironment].[Stock Market Cap (Million)].[All]" dimensionUniqueName="[BusinessEnvironment]" displayFolder="" count="0" memberValueDatatype="20" unbalanced="0"/>
    <cacheHierarchy uniqueName="[BusinessEnvironment].[Median Income]" caption="Median Income" attribute="1" defaultMemberUniqueName="[BusinessEnvironment].[Median Income].[All]" allUniqueName="[BusinessEnvironment].[Median Income].[All]" dimensionUniqueName="[BusinessEnvironment]" displayFolder="" count="0" memberValueDatatype="20" unbalanced="0"/>
    <cacheHierarchy uniqueName="[BusinessEnvironment].[Transportation Index]" caption="Transportation Index" attribute="1" defaultMemberUniqueName="[BusinessEnvironment].[Transportation Index].[All]" allUniqueName="[BusinessEnvironment].[Transportation Index].[All]" dimensionUniqueName="[BusinessEnvironment]" displayFolder="" count="0" memberValueDatatype="5" unbalanced="0"/>
    <cacheHierarchy uniqueName="[Cost].[Region of Residence]" caption="Region of Residence" attribute="1" defaultMemberUniqueName="[Cost].[Region of Residence].[All]" allUniqueName="[Cost].[Region of Residence].[All]" dimensionUniqueName="[Cost]" displayFolder="" count="0" memberValueDatatype="130" unbalanced="0"/>
    <cacheHierarchy uniqueName="[Cost].[Housing Price to Income Ratio]" caption="Housing Price to Income Ratio" attribute="1" defaultMemberUniqueName="[Cost].[Housing Price to Income Ratio].[All]" allUniqueName="[Cost].[Housing Price to Income Ratio].[All]" dimensionUniqueName="[Cost]" displayFolder="" count="0" memberValueDatatype="5" unbalanced="0"/>
    <cacheHierarchy uniqueName="[Cost].[Food]" caption="Food" attribute="1" defaultMemberUniqueName="[Cost].[Food].[All]" allUniqueName="[Cost].[Food].[All]" dimensionUniqueName="[Cost]" displayFolder="" count="0" memberValueDatatype="5" unbalanced="0"/>
    <cacheHierarchy uniqueName="[Cost].[Transportation (One way bus fare)]" caption="Transportation (One way bus fare)" attribute="1" defaultMemberUniqueName="[Cost].[Transportation (One way bus fare)].[All]" allUniqueName="[Cost].[Transportation (One way bus fare)].[All]" dimensionUniqueName="[Cost]" displayFolder="" count="0" memberValueDatatype="5" unbalanced="0"/>
    <cacheHierarchy uniqueName="[Cost].[Healthcare]" caption="Healthcare" attribute="1" defaultMemberUniqueName="[Cost].[Healthcare].[All]" allUniqueName="[Cost].[Healthcare].[All]" dimensionUniqueName="[Cost]" displayFolder="" count="0" memberValueDatatype="5" unbalanced="0"/>
    <cacheHierarchy uniqueName="[Cost].[Education]" caption="Education" attribute="1" defaultMemberUniqueName="[Cost].[Education].[All]" allUniqueName="[Cost].[Education].[All]" dimensionUniqueName="[Cost]" displayFolder="" count="0" memberValueDatatype="5" unbalanced="0"/>
    <cacheHierarchy uniqueName="[Cost].[Inflation Rates]" caption="Inflation Rates" attribute="1" defaultMemberUniqueName="[Cost].[Inflation Rates].[All]" allUniqueName="[Cost].[Inflation Rates].[All]" dimensionUniqueName="[Cost]" displayFolder="" count="0" memberValueDatatype="5" unbalanced="0"/>
    <cacheHierarchy uniqueName="[Cost].[Currency Purchasing Power]" caption="Currency Purchasing Power" attribute="1" defaultMemberUniqueName="[Cost].[Currency Purchasing Power].[All]" allUniqueName="[Cost].[Currency Purchasing Power].[All]" dimensionUniqueName="[Cost]" displayFolder="" count="0" memberValueDatatype="5" unbalanced="0"/>
    <cacheHierarchy uniqueName="[Cost].[Average Personal Income Tax Rates]" caption="Average Personal Income Tax Rates" attribute="1" defaultMemberUniqueName="[Cost].[Average Personal Income Tax Rates].[All]" allUniqueName="[Cost].[Average Personal Income Tax Rates].[All]" dimensionUniqueName="[Cost]" displayFolder="" count="0" memberValueDatatype="5" unbalanced="0"/>
    <cacheHierarchy uniqueName="[Cost].[Cost of a Vacation (A week)]" caption="Cost of a Vacation (A week)" attribute="1" defaultMemberUniqueName="[Cost].[Cost of a Vacation (A week)].[All]" allUniqueName="[Cost].[Cost of a Vacation (A week)].[All]" dimensionUniqueName="[Cost]" displayFolder="" count="0" memberValueDatatype="20" unbalanced="0"/>
    <cacheHierarchy uniqueName="[Healthcare].[Region of Residence]" caption="Region of Residence" attribute="1" defaultMemberUniqueName="[Healthcare].[Region of Residence].[All]" allUniqueName="[Healthcare].[Region of Residence].[All]" dimensionUniqueName="[Healthcare]" displayFolder="" count="0" memberValueDatatype="130" unbalanced="0"/>
    <cacheHierarchy uniqueName="[Healthcare].[Physician Density (per 1000 people)]" caption="Physician Density (per 1000 people)" attribute="1" defaultMemberUniqueName="[Healthcare].[Physician Density (per 1000 people)].[All]" allUniqueName="[Healthcare].[Physician Density (per 1000 people)].[All]" dimensionUniqueName="[Healthcare]" displayFolder="" count="0" memberValueDatatype="5" unbalanced="0"/>
    <cacheHierarchy uniqueName="[Healthcare].[Hospital Bed Density]" caption="Hospital Bed Density" attribute="1" defaultMemberUniqueName="[Healthcare].[Hospital Bed Density].[All]" allUniqueName="[Healthcare].[Hospital Bed Density].[All]" dimensionUniqueName="[Healthcare]" displayFolder="" count="0" memberValueDatatype="5" unbalanced="0"/>
    <cacheHierarchy uniqueName="[Healthcare].[Health Insurance Coverage]" caption="Health Insurance Coverage" attribute="1" defaultMemberUniqueName="[Healthcare].[Health Insurance Coverage].[All]" allUniqueName="[Healthcare].[Health Insurance Coverage].[All]" dimensionUniqueName="[Healthcare]" displayFolder="" count="0" memberValueDatatype="5" unbalanced="0"/>
    <cacheHierarchy uniqueName="[Healthcare].[Doctors (per 10000)]" caption="Doctors (per 10000)" attribute="1" defaultMemberUniqueName="[Healthcare].[Doctors (per 10000)].[All]" allUniqueName="[Healthcare].[Doctors (per 10000)].[All]" dimensionUniqueName="[Healthcare]" displayFolder="" count="0" memberValueDatatype="5" unbalanced="0"/>
    <cacheHierarchy uniqueName="[Healthcare].[Health Care Index]" caption="Health Care Index" attribute="1" defaultMemberUniqueName="[Healthcare].[Health Care Index].[All]" allUniqueName="[Healthcare].[Health Care Index].[All]" dimensionUniqueName="[Healthcare]" displayFolder="" count="0" memberValueDatatype="5" unbalanced="0"/>
    <cacheHierarchy uniqueName="[Healthcare].[Pollution Index]" caption="Pollution Index" attribute="1" defaultMemberUniqueName="[Healthcare].[Pollution Index].[All]" allUniqueName="[Healthcare].[Pollution Index].[All]" dimensionUniqueName="[Healthcare]" displayFolder="" count="0" memberValueDatatype="5" unbalanced="0"/>
    <cacheHierarchy uniqueName="[Healthcare].[Healthcare Access and Quality]" caption="Healthcare Access and Quality" attribute="1" defaultMemberUniqueName="[Healthcare].[Healthcare Access and Quality].[All]" allUniqueName="[Healthcare].[Healthcare Access and Quality].[All]" dimensionUniqueName="[Healthcare]" displayFolder="" count="0" memberValueDatatype="5" unbalanced="0"/>
    <cacheHierarchy uniqueName="[Internet].[Region of Residence]" caption="Region of Residence" attribute="1" defaultMemberUniqueName="[Internet].[Region of Residence].[All]" allUniqueName="[Internet].[Region of Residence].[All]" dimensionUniqueName="[Internet]" displayFolder="" count="0" memberValueDatatype="130" unbalanced="0"/>
    <cacheHierarchy uniqueName="[Internet].[Internet Speed (Mbps)]" caption="Internet Speed (Mbps)" attribute="1" defaultMemberUniqueName="[Internet].[Internet Speed (Mbps)].[All]" allUniqueName="[Internet].[Internet Speed (Mbps)].[All]" dimensionUniqueName="[Internet]" displayFolder="" count="0" memberValueDatatype="5" unbalanced="0"/>
    <cacheHierarchy uniqueName="[Internet].[Cost per Mbps]" caption="Cost per Mbps" attribute="1" defaultMemberUniqueName="[Internet].[Cost per Mbps].[All]" allUniqueName="[Internet].[Cost per Mbps].[All]" dimensionUniqueName="[Internet]" displayFolder="" count="0" memberValueDatatype="5" unbalanced="0"/>
    <cacheHierarchy uniqueName="[Internet].[Internet Penetration Rate]" caption="Internet Penetration Rate" attribute="1" defaultMemberUniqueName="[Internet].[Internet Penetration Rate].[All]" allUniqueName="[Internet].[Internet Penetration Rate].[All]" dimensionUniqueName="[Internet]" displayFolder="" count="0" memberValueDatatype="5" unbalanced="0"/>
    <cacheHierarchy uniqueName="[Internet].[Internet Censorship Index]" caption="Internet Censorship Index" attribute="1" defaultMemberUniqueName="[Internet].[Internet Censorship Index].[All]" allUniqueName="[Internet].[Internet Censorship Index].[All]" dimensionUniqueName="[Internet]" displayFolder="" count="0" memberValueDatatype="20" unbalanced="0"/>
    <cacheHierarchy uniqueName="[Internet].[Cybersecurity Index]" caption="Cybersecurity Index" attribute="1" defaultMemberUniqueName="[Internet].[Cybersecurity Index].[All]" allUniqueName="[Internet].[Cybersecurity Index].[All]" dimensionUniqueName="[Internet]" displayFolder="" count="0" memberValueDatatype="5" unbalanced="0"/>
    <cacheHierarchy uniqueName="[purchasing_power_parity_ppp].[Country]" caption="Country" attribute="1" defaultMemberUniqueName="[purchasing_power_parity_ppp].[Country].[All]" allUniqueName="[purchasing_power_parity_ppp].[Country].[All]" dimensionUniqueName="[purchasing_power_parity_ppp]" displayFolder="" count="2" memberValueDatatype="130" unbalanced="0">
      <fieldsUsage count="2">
        <fieldUsage x="-1"/>
        <fieldUsage x="0"/>
      </fieldsUsage>
    </cacheHierarchy>
    <cacheHierarchy uniqueName="[purchasing_power_parity_ppp].[Indicator Name]" caption="Indicator Name" attribute="1" defaultMemberUniqueName="[purchasing_power_parity_ppp].[Indicator Name].[All]" allUniqueName="[purchasing_power_parity_ppp].[Indicator Name].[All]" dimensionUniqueName="[purchasing_power_parity_ppp]" displayFolder="" count="0" memberValueDatatype="130" unbalanced="0"/>
    <cacheHierarchy uniqueName="[purchasing_power_parity_ppp].[Year]" caption="Year" attribute="1" defaultMemberUniqueName="[purchasing_power_parity_ppp].[Year].[All]" allUniqueName="[purchasing_power_parity_ppp].[Year].[All]" dimensionUniqueName="[purchasing_power_parity_ppp]" displayFolder="" count="0" memberValueDatatype="20" unbalanced="0"/>
    <cacheHierarchy uniqueName="[purchasing_power_parity_ppp].[PPP]" caption="PPP" attribute="1" defaultMemberUniqueName="[purchasing_power_parity_ppp].[PPP].[All]" allUniqueName="[purchasing_power_parity_ppp].[PPP].[All]" dimensionUniqueName="[purchasing_power_parity_ppp]" displayFolder="" count="0" memberValueDatatype="5" unbalanced="0"/>
    <cacheHierarchy uniqueName="[purchasing-power-parity-ppp].[Country]" caption="Country" attribute="1" defaultMemberUniqueName="[purchasing-power-parity-ppp].[Country].[All]" allUniqueName="[purchasing-power-parity-ppp].[Country].[All]" dimensionUniqueName="[purchasing-power-parity-ppp]" displayFolder="" count="0" memberValueDatatype="130" unbalanced="0"/>
    <cacheHierarchy uniqueName="[purchasing-power-parity-ppp].[Indicator Name]" caption="Indicator Name" attribute="1" defaultMemberUniqueName="[purchasing-power-parity-ppp].[Indicator Name].[All]" allUniqueName="[purchasing-power-parity-ppp].[Indicator Name].[All]" dimensionUniqueName="[purchasing-power-parity-ppp]" displayFolder="" count="0" memberValueDatatype="130" unbalanced="0"/>
    <cacheHierarchy uniqueName="[purchasing-power-parity-ppp].[Year]" caption="Year" attribute="1" defaultMemberUniqueName="[purchasing-power-parity-ppp].[Year].[All]" allUniqueName="[purchasing-power-parity-ppp].[Year].[All]" dimensionUniqueName="[purchasing-power-parity-ppp]" displayFolder="" count="0" memberValueDatatype="20" unbalanced="0"/>
    <cacheHierarchy uniqueName="[purchasing-power-parity-ppp].[PPP]" caption="PPP" attribute="1" defaultMemberUniqueName="[purchasing-power-parity-ppp].[PPP].[All]" allUniqueName="[purchasing-power-parity-ppp].[PPP].[All]" dimensionUniqueName="[purchasing-power-parity-ppp]" displayFolder="" count="0" memberValueDatatype="5" unbalanced="0"/>
    <cacheHierarchy uniqueName="[QualityofLife].[Region of Residence]" caption="Region of Residence" attribute="1" defaultMemberUniqueName="[QualityofLife].[Region of Residence].[All]" allUniqueName="[QualityofLife].[Region of Residence].[All]" dimensionUniqueName="[QualityofLife]" displayFolder="" count="0" memberValueDatatype="130" unbalanced="0"/>
    <cacheHierarchy uniqueName="[QualityofLife].[Life Expectancy]" caption="Life Expectancy" attribute="1" defaultMemberUniqueName="[QualityofLife].[Life Expectancy].[All]" allUniqueName="[QualityofLife].[Life Expectancy].[All]" dimensionUniqueName="[QualityofLife]" displayFolder="" count="0" memberValueDatatype="5" unbalanced="0"/>
    <cacheHierarchy uniqueName="[QualityofLife].[Education Index (Literacy or school enrollment)]" caption="Education Index (Literacy or school enrollment)" attribute="1" defaultMemberUniqueName="[QualityofLife].[Education Index (Literacy or school enrollment)].[All]" allUniqueName="[QualityofLife].[Education Index (Literacy or school enrollment)].[All]" dimensionUniqueName="[QualityofLife]" displayFolder="" count="0" memberValueDatatype="5" unbalanced="0"/>
    <cacheHierarchy uniqueName="[QualityofLife].[GDP per capita]" caption="GDP per capita" attribute="1" defaultMemberUniqueName="[QualityofLife].[GDP per capita].[All]" allUniqueName="[QualityofLife].[GDP per capita].[All]" dimensionUniqueName="[QualityofLife]" displayFolder="" count="0" memberValueDatatype="20" unbalanced="0"/>
    <cacheHierarchy uniqueName="[QualityofLife].[Safety Rate]" caption="Safety Rate" attribute="1" defaultMemberUniqueName="[QualityofLife].[Safety Rate].[All]" allUniqueName="[QualityofLife].[Safety Rate].[All]" dimensionUniqueName="[QualityofLife]" displayFolder="" count="0" memberValueDatatype="5" unbalanced="0"/>
    <cacheHierarchy uniqueName="[QualityofLife].[Pollution Index]" caption="Pollution Index" attribute="1" defaultMemberUniqueName="[QualityofLife].[Pollution Index].[All]" allUniqueName="[QualityofLife].[Pollution Index].[All]" dimensionUniqueName="[QualityofLife]" displayFolder="" count="0" memberValueDatatype="5" unbalanced="0"/>
    <cacheHierarchy uniqueName="[QualityofLife].[Climate Index]" caption="Climate Index" attribute="1" defaultMemberUniqueName="[QualityofLife].[Climate Index].[All]" allUniqueName="[QualityofLife].[Climate Index].[All]" dimensionUniqueName="[QualityofLife]" displayFolder="" count="0" memberValueDatatype="5" unbalanced="0"/>
    <cacheHierarchy uniqueName="[QualityofLife].[Property price to income ratio]" caption="Property price to income ratio" attribute="1" defaultMemberUniqueName="[QualityofLife].[Property price to income ratio].[All]" allUniqueName="[QualityofLife].[Property price to income ratio].[All]" dimensionUniqueName="[QualityofLife]" displayFolder="" count="0" memberValueDatatype="5" unbalanced="0"/>
    <cacheHierarchy uniqueName="[QualityofLife].[Traffic commute time index]" caption="Traffic commute time index" attribute="1" defaultMemberUniqueName="[QualityofLife].[Traffic commute time index].[All]" allUniqueName="[QualityofLife].[Traffic commute time index].[All]" dimensionUniqueName="[QualityofLife]" displayFolder="" count="0" memberValueDatatype="5" unbalanced="0"/>
    <cacheHierarchy uniqueName="[QualityofLife].[Personal Freedom and Human Rights]" caption="Personal Freedom and Human Rights" attribute="1" defaultMemberUniqueName="[QualityofLife].[Personal Freedom and Human Rights].[All]" allUniqueName="[QualityofLife].[Personal Freedom and Human Rights].[All]" dimensionUniqueName="[QualityofLife]" displayFolder="" count="0" memberValueDatatype="5" unbalanced="0"/>
    <cacheHierarchy uniqueName="[Region].[Region of Residence]" caption="Region of Residence" attribute="1" defaultMemberUniqueName="[Region].[Region of Residence].[All]" allUniqueName="[Region].[Region of Residence].[All]" dimensionUniqueName="[Region]" displayFolder="" count="0" memberValueDatatype="130" unbalanced="0"/>
    <cacheHierarchy uniqueName="[Measures].[__XL_Count BusinessEnvironment]" caption="__XL_Count BusinessEnvironment" measure="1" displayFolder="" measureGroup="BusinessEnvironment" count="0" hidden="1"/>
    <cacheHierarchy uniqueName="[Measures].[__XL_Count Cost]" caption="__XL_Count Cost" measure="1" displayFolder="" measureGroup="Cost" count="0" hidden="1"/>
    <cacheHierarchy uniqueName="[Measures].[__XL_Count Healthcare]" caption="__XL_Count Healthcare" measure="1" displayFolder="" measureGroup="Healthcare" count="0" hidden="1"/>
    <cacheHierarchy uniqueName="[Measures].[__XL_Count Internet]" caption="__XL_Count Internet" measure="1" displayFolder="" measureGroup="Internet" count="0" hidden="1"/>
    <cacheHierarchy uniqueName="[Measures].[__XL_Count QualityofLife]" caption="__XL_Count QualityofLife" measure="1" displayFolder="" measureGroup="QualityofLife" count="0" hidden="1"/>
    <cacheHierarchy uniqueName="[Measures].[__XL_Count Region]" caption="__XL_Count Region" measure="1" displayFolder="" measureGroup="Region" count="0" hidden="1"/>
    <cacheHierarchy uniqueName="[Measures].[__XL_Count purchasing-power-parity-ppp]" caption="__XL_Count purchasing-power-parity-ppp" measure="1" displayFolder="" measureGroup="purchasing-power-parity-ppp" count="0" hidden="1"/>
    <cacheHierarchy uniqueName="[Measures].[__XL_Count purchasing_power_parity_ppp]" caption="__XL_Count purchasing_power_parity_ppp" measure="1" displayFolder="" measureGroup="purchasing_power_parity_ppp" count="0" hidden="1"/>
    <cacheHierarchy uniqueName="[Measures].[__No measures defined]" caption="__No measures defined" measure="1" displayFolder="" count="0" hidden="1"/>
    <cacheHierarchy uniqueName="[Measures].[Sum of Healthcare]" caption="Sum of Healthcare" measure="1" displayFolder="" measureGroup="Cost" count="0" hidden="1">
      <extLst>
        <ext xmlns:x15="http://schemas.microsoft.com/office/spreadsheetml/2010/11/main" uri="{B97F6D7D-B522-45F9-BDA1-12C45D357490}">
          <x15:cacheHierarchy aggregatedColumn="13"/>
        </ext>
      </extLst>
    </cacheHierarchy>
    <cacheHierarchy uniqueName="[Measures].[Sum of Corruption Index]" caption="Sum of Corruption Index" measure="1" displayFolder="" measureGroup="BusinessEnvironment" count="0" hidden="1">
      <extLst>
        <ext xmlns:x15="http://schemas.microsoft.com/office/spreadsheetml/2010/11/main" uri="{B97F6D7D-B522-45F9-BDA1-12C45D357490}">
          <x15:cacheHierarchy aggregatedColumn="4"/>
        </ext>
      </extLst>
    </cacheHierarchy>
    <cacheHierarchy uniqueName="[Measures].[Sum of Intellectual Property Protection Index]" caption="Sum of Intellectual Property Protection Index" measure="1" displayFolder="" measureGroup="BusinessEnvironment" count="0" hidden="1">
      <extLst>
        <ext xmlns:x15="http://schemas.microsoft.com/office/spreadsheetml/2010/11/main" uri="{B97F6D7D-B522-45F9-BDA1-12C45D357490}">
          <x15:cacheHierarchy aggregatedColumn="5"/>
        </ext>
      </extLst>
    </cacheHierarchy>
    <cacheHierarchy uniqueName="[Measures].[Sum of Stock Market Cap (Million)]" caption="Sum of Stock Market Cap (Million)" measure="1" displayFolder="" measureGroup="BusinessEnvironment" count="0" hidden="1">
      <extLst>
        <ext xmlns:x15="http://schemas.microsoft.com/office/spreadsheetml/2010/11/main" uri="{B97F6D7D-B522-45F9-BDA1-12C45D357490}">
          <x15:cacheHierarchy aggregatedColumn="6"/>
        </ext>
      </extLst>
    </cacheHierarchy>
    <cacheHierarchy uniqueName="[Measures].[Sum of Internet Penetration Rate]" caption="Sum of Internet Penetration Rate" measure="1" displayFolder="" measureGroup="Internet" count="0" hidden="1"/>
    <cacheHierarchy uniqueName="[Measures].[Sum of Cost per Mbps]" caption="Sum of Cost per Mbps" measure="1" displayFolder="" measureGroup="Internet" count="0" hidden="1">
      <extLst>
        <ext xmlns:x15="http://schemas.microsoft.com/office/spreadsheetml/2010/11/main" uri="{B97F6D7D-B522-45F9-BDA1-12C45D357490}">
          <x15:cacheHierarchy aggregatedColumn="29"/>
        </ext>
      </extLst>
    </cacheHierarchy>
    <cacheHierarchy uniqueName="[Measures].[Sum of Hospital Bed Density]" caption="Sum of Hospital Bed Density" measure="1" displayFolder="" measureGroup="Healthcare" count="0" hidden="1"/>
    <cacheHierarchy uniqueName="[Measures].[Sum of Doctors (per 10000)]" caption="Sum of Doctors (per 10000)" measure="1" displayFolder="" measureGroup="Healthcare" count="0" hidden="1">
      <extLst>
        <ext xmlns:x15="http://schemas.microsoft.com/office/spreadsheetml/2010/11/main" uri="{B97F6D7D-B522-45F9-BDA1-12C45D357490}">
          <x15:cacheHierarchy aggregatedColumn="23"/>
        </ext>
      </extLst>
    </cacheHierarchy>
    <cacheHierarchy uniqueName="[Measures].[Sum of Education]" caption="Sum of Education" measure="1" displayFolder="" measureGroup="Cost" count="0" hidden="1">
      <extLst>
        <ext xmlns:x15="http://schemas.microsoft.com/office/spreadsheetml/2010/11/main" uri="{B97F6D7D-B522-45F9-BDA1-12C45D357490}">
          <x15:cacheHierarchy aggregatedColumn="14"/>
        </ext>
      </extLst>
    </cacheHierarchy>
    <cacheHierarchy uniqueName="[Measures].[Sum of Climate Index]" caption="Sum of Climate Index" measure="1" displayFolder="" measureGroup="QualityofLife" count="0" hidden="1">
      <extLst>
        <ext xmlns:x15="http://schemas.microsoft.com/office/spreadsheetml/2010/11/main" uri="{B97F6D7D-B522-45F9-BDA1-12C45D357490}">
          <x15:cacheHierarchy aggregatedColumn="47"/>
        </ext>
      </extLst>
    </cacheHierarchy>
    <cacheHierarchy uniqueName="[Measures].[Sum of Median Income]" caption="Sum of Median Income" measure="1" displayFolder="" measureGroup="BusinessEnvironment" count="0" hidden="1">
      <extLst>
        <ext xmlns:x15="http://schemas.microsoft.com/office/spreadsheetml/2010/11/main" uri="{B97F6D7D-B522-45F9-BDA1-12C45D357490}">
          <x15:cacheHierarchy aggregatedColumn="7"/>
        </ext>
      </extLst>
    </cacheHierarchy>
    <cacheHierarchy uniqueName="[Measures].[Sum of Transportation Index]" caption="Sum of Transportation Index" measure="1" displayFolder="" measureGroup="BusinessEnvironment" count="0" hidden="1">
      <extLst>
        <ext xmlns:x15="http://schemas.microsoft.com/office/spreadsheetml/2010/11/main" uri="{B97F6D7D-B522-45F9-BDA1-12C45D357490}">
          <x15:cacheHierarchy aggregatedColumn="8"/>
        </ext>
      </extLst>
    </cacheHierarchy>
    <cacheHierarchy uniqueName="[Measures].[Sum of Healthcare Access and Quality]" caption="Sum of Healthcare Access and Quality" measure="1" displayFolder="" measureGroup="Healthcare" count="0" hidden="1">
      <extLst>
        <ext xmlns:x15="http://schemas.microsoft.com/office/spreadsheetml/2010/11/main" uri="{B97F6D7D-B522-45F9-BDA1-12C45D357490}">
          <x15:cacheHierarchy aggregatedColumn="26"/>
        </ext>
      </extLst>
    </cacheHierarchy>
    <cacheHierarchy uniqueName="[Measures].[Sum of Internet Speed (Mbps)]" caption="Sum of Internet Speed (Mbps)" measure="1" displayFolder="" measureGroup="Internet" count="0" hidden="1">
      <extLst>
        <ext xmlns:x15="http://schemas.microsoft.com/office/spreadsheetml/2010/11/main" uri="{B97F6D7D-B522-45F9-BDA1-12C45D357490}">
          <x15:cacheHierarchy aggregatedColumn="28"/>
        </ext>
      </extLst>
    </cacheHierarchy>
    <cacheHierarchy uniqueName="[Measures].[Sum of Corporate Tax rates]" caption="Sum of Corporate Tax rates" measure="1" displayFolder="" measureGroup="BusinessEnvironment" count="0" hidden="1">
      <extLst>
        <ext xmlns:x15="http://schemas.microsoft.com/office/spreadsheetml/2010/11/main" uri="{B97F6D7D-B522-45F9-BDA1-12C45D357490}">
          <x15:cacheHierarchy aggregatedColumn="2"/>
        </ext>
      </extLst>
    </cacheHierarchy>
    <cacheHierarchy uniqueName="[Measures].[Sum of Education Index (Literacy or school enrollment)]" caption="Sum of Education Index (Literacy or school enrollment)" measure="1" displayFolder="" measureGroup="QualityofLife" count="0" hidden="1">
      <extLst>
        <ext xmlns:x15="http://schemas.microsoft.com/office/spreadsheetml/2010/11/main" uri="{B97F6D7D-B522-45F9-BDA1-12C45D357490}">
          <x15:cacheHierarchy aggregatedColumn="43"/>
        </ext>
      </extLst>
    </cacheHierarchy>
    <cacheHierarchy uniqueName="[Measures].[Sum of Housing Price to Income Ratio]" caption="Sum of Housing Price to Income Ratio" measure="1" displayFolder="" measureGroup="Cost" count="0" hidden="1">
      <extLst>
        <ext xmlns:x15="http://schemas.microsoft.com/office/spreadsheetml/2010/11/main" uri="{B97F6D7D-B522-45F9-BDA1-12C45D357490}">
          <x15:cacheHierarchy aggregatedColumn="10"/>
        </ext>
      </extLst>
    </cacheHierarchy>
    <cacheHierarchy uniqueName="[Measures].[Sum of Food]" caption="Sum of Food" measure="1" displayFolder="" measureGroup="Cost" count="0" hidden="1">
      <extLst>
        <ext xmlns:x15="http://schemas.microsoft.com/office/spreadsheetml/2010/11/main" uri="{B97F6D7D-B522-45F9-BDA1-12C45D357490}">
          <x15:cacheHierarchy aggregatedColumn="11"/>
        </ext>
      </extLst>
    </cacheHierarchy>
    <cacheHierarchy uniqueName="[Measures].[Sum of Property price to income ratio]" caption="Sum of Property price to income ratio" measure="1" displayFolder="" measureGroup="QualityofLife" count="0" hidden="1">
      <extLst>
        <ext xmlns:x15="http://schemas.microsoft.com/office/spreadsheetml/2010/11/main" uri="{B97F6D7D-B522-45F9-BDA1-12C45D357490}">
          <x15:cacheHierarchy aggregatedColumn="48"/>
        </ext>
      </extLst>
    </cacheHierarchy>
    <cacheHierarchy uniqueName="[Measures].[Sum of GDP per capita]" caption="Sum of GDP per capita" measure="1" displayFolder="" measureGroup="QualityofLife" count="0" hidden="1">
      <extLst>
        <ext xmlns:x15="http://schemas.microsoft.com/office/spreadsheetml/2010/11/main" uri="{B97F6D7D-B522-45F9-BDA1-12C45D357490}">
          <x15:cacheHierarchy aggregatedColumn="44"/>
        </ext>
      </extLst>
    </cacheHierarchy>
    <cacheHierarchy uniqueName="[Measures].[Sum of Innovation Ranking]" caption="Sum of Innovation Ranking" measure="1" displayFolder="" measureGroup="BusinessEnvironment" count="0" hidden="1">
      <extLst>
        <ext xmlns:x15="http://schemas.microsoft.com/office/spreadsheetml/2010/11/main" uri="{B97F6D7D-B522-45F9-BDA1-12C45D357490}">
          <x15:cacheHierarchy aggregatedColumn="3"/>
        </ext>
      </extLst>
    </cacheHierarchy>
    <cacheHierarchy uniqueName="[Measures].[Sum of Ease of doing business Index]" caption="Sum of Ease of doing business Index" measure="1" displayFolder="" measureGroup="BusinessEnvironment" count="0" hidden="1">
      <extLst>
        <ext xmlns:x15="http://schemas.microsoft.com/office/spreadsheetml/2010/11/main" uri="{B97F6D7D-B522-45F9-BDA1-12C45D357490}">
          <x15:cacheHierarchy aggregatedColumn="1"/>
        </ext>
      </extLst>
    </cacheHierarchy>
    <cacheHierarchy uniqueName="[Measures].[Sum of Health Insurance Coverage]" caption="Sum of Health Insurance Coverage" measure="1" displayFolder="" measureGroup="Healthcare" count="0" hidden="1">
      <extLst>
        <ext xmlns:x15="http://schemas.microsoft.com/office/spreadsheetml/2010/11/main" uri="{B97F6D7D-B522-45F9-BDA1-12C45D357490}">
          <x15:cacheHierarchy aggregatedColumn="22"/>
        </ext>
      </extLst>
    </cacheHierarchy>
    <cacheHierarchy uniqueName="[Measures].[Sum of PPP]" caption="Sum of PPP" measure="1" displayFolder="" measureGroup="purchasing_power_parity_ppp"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purchasing_power_parity_ppp" count="0" hidden="1">
      <extLst>
        <ext xmlns:x15="http://schemas.microsoft.com/office/spreadsheetml/2010/11/main" uri="{B97F6D7D-B522-45F9-BDA1-12C45D357490}">
          <x15:cacheHierarchy aggregatedColumn="35"/>
        </ext>
      </extLst>
    </cacheHierarchy>
  </cacheHierarchies>
  <kpis count="0"/>
  <dimensions count="9">
    <dimension name="BusinessEnvironment" uniqueName="[BusinessEnvironment]" caption="BusinessEnvironment"/>
    <dimension name="Cost" uniqueName="[Cost]" caption="Cost"/>
    <dimension name="Healthcare" uniqueName="[Healthcare]" caption="Healthcare"/>
    <dimension name="Internet" uniqueName="[Internet]" caption="Internet"/>
    <dimension measure="1" name="Measures" uniqueName="[Measures]" caption="Measures"/>
    <dimension name="purchasing_power_parity_ppp" uniqueName="[purchasing_power_parity_ppp]" caption="purchasing_power_parity_ppp"/>
    <dimension name="purchasing-power-parity-ppp" uniqueName="[purchasing-power-parity-ppp]" caption="purchasing-power-parity-ppp"/>
    <dimension name="QualityofLife" uniqueName="[QualityofLife]" caption="QualityofLife"/>
    <dimension name="Region" uniqueName="[Region]" caption="Region"/>
  </dimensions>
  <measureGroups count="8">
    <measureGroup name="BusinessEnvironment" caption="BusinessEnvironment"/>
    <measureGroup name="Cost" caption="Cost"/>
    <measureGroup name="Healthcare" caption="Healthcare"/>
    <measureGroup name="Internet" caption="Internet"/>
    <measureGroup name="purchasing_power_parity_ppp" caption="purchasing_power_parity_ppp"/>
    <measureGroup name="purchasing-power-parity-ppp" caption="purchasing-power-parity-ppp"/>
    <measureGroup name="QualityofLife" caption="QualityofLife"/>
    <measureGroup name="Region" caption="Region"/>
  </measureGroups>
  <maps count="13">
    <map measureGroup="0" dimension="0"/>
    <map measureGroup="0" dimension="8"/>
    <map measureGroup="1" dimension="1"/>
    <map measureGroup="1" dimension="8"/>
    <map measureGroup="2" dimension="2"/>
    <map measureGroup="2" dimension="8"/>
    <map measureGroup="3" dimension="3"/>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62.413476967595" backgroundQuery="1" createdVersion="3" refreshedVersion="8" minRefreshableVersion="3" recordCount="0" supportSubquery="1" supportAdvancedDrill="1" xr:uid="{9FA75C97-8E61-4D77-8560-931124EBDFD7}">
  <cacheSource type="external" connectionId="3">
    <extLst>
      <ext xmlns:x14="http://schemas.microsoft.com/office/spreadsheetml/2009/9/main" uri="{F057638F-6D5F-4e77-A914-E7F072B9BCA8}">
        <x14:sourceConnection name="ThisWorkbookDataModel"/>
      </ext>
    </extLst>
  </cacheSource>
  <cacheFields count="0"/>
  <cacheHierarchies count="86">
    <cacheHierarchy uniqueName="[BusinessEnvironment].[Region of Residence]" caption="Region of Residence" attribute="1" defaultMemberUniqueName="[BusinessEnvironment].[Region of Residence].[All]" allUniqueName="[BusinessEnvironment].[Region of Residence].[All]" dimensionUniqueName="[BusinessEnvironment]" displayFolder="" count="0" memberValueDatatype="130" unbalanced="0"/>
    <cacheHierarchy uniqueName="[BusinessEnvironment].[Ease of doing business Index]" caption="Ease of doing business Index" attribute="1" defaultMemberUniqueName="[BusinessEnvironment].[Ease of doing business Index].[All]" allUniqueName="[BusinessEnvironment].[Ease of doing business Index].[All]" dimensionUniqueName="[BusinessEnvironment]" displayFolder="" count="0" memberValueDatatype="5" unbalanced="0"/>
    <cacheHierarchy uniqueName="[BusinessEnvironment].[Corporate Tax rates]" caption="Corporate Tax rates" attribute="1" defaultMemberUniqueName="[BusinessEnvironment].[Corporate Tax rates].[All]" allUniqueName="[BusinessEnvironment].[Corporate Tax rates].[All]" dimensionUniqueName="[BusinessEnvironment]" displayFolder="" count="0" memberValueDatatype="5" unbalanced="0"/>
    <cacheHierarchy uniqueName="[BusinessEnvironment].[Innovation Ranking]" caption="Innovation Ranking" attribute="1" defaultMemberUniqueName="[BusinessEnvironment].[Innovation Ranking].[All]" allUniqueName="[BusinessEnvironment].[Innovation Ranking].[All]" dimensionUniqueName="[BusinessEnvironment]" displayFolder="" count="0" memberValueDatatype="20" unbalanced="0"/>
    <cacheHierarchy uniqueName="[BusinessEnvironment].[Corruption Index]" caption="Corruption Index" attribute="1" defaultMemberUniqueName="[BusinessEnvironment].[Corruption Index].[All]" allUniqueName="[BusinessEnvironment].[Corruption Index].[All]" dimensionUniqueName="[BusinessEnvironment]" displayFolder="" count="0" memberValueDatatype="20" unbalanced="0"/>
    <cacheHierarchy uniqueName="[BusinessEnvironment].[Intellectual Property Protection Index]" caption="Intellectual Property Protection Index" attribute="1" defaultMemberUniqueName="[BusinessEnvironment].[Intellectual Property Protection Index].[All]" allUniqueName="[BusinessEnvironment].[Intellectual Property Protection Index].[All]" dimensionUniqueName="[BusinessEnvironment]" displayFolder="" count="0" memberValueDatatype="5" unbalanced="0"/>
    <cacheHierarchy uniqueName="[BusinessEnvironment].[Stock Market Cap (Million)]" caption="Stock Market Cap (Million)" attribute="1" defaultMemberUniqueName="[BusinessEnvironment].[Stock Market Cap (Million)].[All]" allUniqueName="[BusinessEnvironment].[Stock Market Cap (Million)].[All]" dimensionUniqueName="[BusinessEnvironment]" displayFolder="" count="0" memberValueDatatype="20" unbalanced="0"/>
    <cacheHierarchy uniqueName="[BusinessEnvironment].[Median Income]" caption="Median Income" attribute="1" defaultMemberUniqueName="[BusinessEnvironment].[Median Income].[All]" allUniqueName="[BusinessEnvironment].[Median Income].[All]" dimensionUniqueName="[BusinessEnvironment]" displayFolder="" count="0" memberValueDatatype="20" unbalanced="0"/>
    <cacheHierarchy uniqueName="[BusinessEnvironment].[Transportation Index]" caption="Transportation Index" attribute="1" defaultMemberUniqueName="[BusinessEnvironment].[Transportation Index].[All]" allUniqueName="[BusinessEnvironment].[Transportation Index].[All]" dimensionUniqueName="[BusinessEnvironment]" displayFolder="" count="0" memberValueDatatype="5" unbalanced="0"/>
    <cacheHierarchy uniqueName="[Cost].[Region of Residence]" caption="Region of Residence" attribute="1" defaultMemberUniqueName="[Cost].[Region of Residence].[All]" allUniqueName="[Cost].[Region of Residence].[All]" dimensionUniqueName="[Cost]" displayFolder="" count="0" memberValueDatatype="130" unbalanced="0"/>
    <cacheHierarchy uniqueName="[Cost].[Housing Price to Income Ratio]" caption="Housing Price to Income Ratio" attribute="1" defaultMemberUniqueName="[Cost].[Housing Price to Income Ratio].[All]" allUniqueName="[Cost].[Housing Price to Income Ratio].[All]" dimensionUniqueName="[Cost]" displayFolder="" count="0" memberValueDatatype="5" unbalanced="0"/>
    <cacheHierarchy uniqueName="[Cost].[Food]" caption="Food" attribute="1" defaultMemberUniqueName="[Cost].[Food].[All]" allUniqueName="[Cost].[Food].[All]" dimensionUniqueName="[Cost]" displayFolder="" count="0" memberValueDatatype="5" unbalanced="0"/>
    <cacheHierarchy uniqueName="[Cost].[Transportation (One way bus fare)]" caption="Transportation (One way bus fare)" attribute="1" defaultMemberUniqueName="[Cost].[Transportation (One way bus fare)].[All]" allUniqueName="[Cost].[Transportation (One way bus fare)].[All]" dimensionUniqueName="[Cost]" displayFolder="" count="0" memberValueDatatype="5" unbalanced="0"/>
    <cacheHierarchy uniqueName="[Cost].[Healthcare]" caption="Healthcare" attribute="1" defaultMemberUniqueName="[Cost].[Healthcare].[All]" allUniqueName="[Cost].[Healthcare].[All]" dimensionUniqueName="[Cost]" displayFolder="" count="0" memberValueDatatype="5" unbalanced="0"/>
    <cacheHierarchy uniqueName="[Cost].[Education]" caption="Education" attribute="1" defaultMemberUniqueName="[Cost].[Education].[All]" allUniqueName="[Cost].[Education].[All]" dimensionUniqueName="[Cost]" displayFolder="" count="0" memberValueDatatype="5" unbalanced="0"/>
    <cacheHierarchy uniqueName="[Cost].[Inflation Rates]" caption="Inflation Rates" attribute="1" defaultMemberUniqueName="[Cost].[Inflation Rates].[All]" allUniqueName="[Cost].[Inflation Rates].[All]" dimensionUniqueName="[Cost]" displayFolder="" count="0" memberValueDatatype="5" unbalanced="0"/>
    <cacheHierarchy uniqueName="[Cost].[Currency Purchasing Power]" caption="Currency Purchasing Power" attribute="1" defaultMemberUniqueName="[Cost].[Currency Purchasing Power].[All]" allUniqueName="[Cost].[Currency Purchasing Power].[All]" dimensionUniqueName="[Cost]" displayFolder="" count="0" memberValueDatatype="5" unbalanced="0"/>
    <cacheHierarchy uniqueName="[Cost].[Average Personal Income Tax Rates]" caption="Average Personal Income Tax Rates" attribute="1" defaultMemberUniqueName="[Cost].[Average Personal Income Tax Rates].[All]" allUniqueName="[Cost].[Average Personal Income Tax Rates].[All]" dimensionUniqueName="[Cost]" displayFolder="" count="0" memberValueDatatype="5" unbalanced="0"/>
    <cacheHierarchy uniqueName="[Cost].[Cost of a Vacation (A week)]" caption="Cost of a Vacation (A week)" attribute="1" defaultMemberUniqueName="[Cost].[Cost of a Vacation (A week)].[All]" allUniqueName="[Cost].[Cost of a Vacation (A week)].[All]" dimensionUniqueName="[Cost]" displayFolder="" count="0" memberValueDatatype="20" unbalanced="0"/>
    <cacheHierarchy uniqueName="[Healthcare].[Region of Residence]" caption="Region of Residence" attribute="1" defaultMemberUniqueName="[Healthcare].[Region of Residence].[All]" allUniqueName="[Healthcare].[Region of Residence].[All]" dimensionUniqueName="[Healthcare]" displayFolder="" count="0" memberValueDatatype="130" unbalanced="0"/>
    <cacheHierarchy uniqueName="[Healthcare].[Physician Density (per 1000 people)]" caption="Physician Density (per 1000 people)" attribute="1" defaultMemberUniqueName="[Healthcare].[Physician Density (per 1000 people)].[All]" allUniqueName="[Healthcare].[Physician Density (per 1000 people)].[All]" dimensionUniqueName="[Healthcare]" displayFolder="" count="0" memberValueDatatype="5" unbalanced="0"/>
    <cacheHierarchy uniqueName="[Healthcare].[Hospital Bed Density]" caption="Hospital Bed Density" attribute="1" defaultMemberUniqueName="[Healthcare].[Hospital Bed Density].[All]" allUniqueName="[Healthcare].[Hospital Bed Density].[All]" dimensionUniqueName="[Healthcare]" displayFolder="" count="0" memberValueDatatype="5" unbalanced="0"/>
    <cacheHierarchy uniqueName="[Healthcare].[Health Insurance Coverage]" caption="Health Insurance Coverage" attribute="1" defaultMemberUniqueName="[Healthcare].[Health Insurance Coverage].[All]" allUniqueName="[Healthcare].[Health Insurance Coverage].[All]" dimensionUniqueName="[Healthcare]" displayFolder="" count="0" memberValueDatatype="5" unbalanced="0"/>
    <cacheHierarchy uniqueName="[Healthcare].[Doctors (per 10000)]" caption="Doctors (per 10000)" attribute="1" defaultMemberUniqueName="[Healthcare].[Doctors (per 10000)].[All]" allUniqueName="[Healthcare].[Doctors (per 10000)].[All]" dimensionUniqueName="[Healthcare]" displayFolder="" count="0" memberValueDatatype="5" unbalanced="0"/>
    <cacheHierarchy uniqueName="[Healthcare].[Health Care Index]" caption="Health Care Index" attribute="1" defaultMemberUniqueName="[Healthcare].[Health Care Index].[All]" allUniqueName="[Healthcare].[Health Care Index].[All]" dimensionUniqueName="[Healthcare]" displayFolder="" count="0" memberValueDatatype="5" unbalanced="0"/>
    <cacheHierarchy uniqueName="[Healthcare].[Pollution Index]" caption="Pollution Index" attribute="1" defaultMemberUniqueName="[Healthcare].[Pollution Index].[All]" allUniqueName="[Healthcare].[Pollution Index].[All]" dimensionUniqueName="[Healthcare]" displayFolder="" count="0" memberValueDatatype="5" unbalanced="0"/>
    <cacheHierarchy uniqueName="[Healthcare].[Healthcare Access and Quality]" caption="Healthcare Access and Quality" attribute="1" defaultMemberUniqueName="[Healthcare].[Healthcare Access and Quality].[All]" allUniqueName="[Healthcare].[Healthcare Access and Quality].[All]" dimensionUniqueName="[Healthcare]" displayFolder="" count="0" memberValueDatatype="5" unbalanced="0"/>
    <cacheHierarchy uniqueName="[Internet].[Region of Residence]" caption="Region of Residence" attribute="1" defaultMemberUniqueName="[Internet].[Region of Residence].[All]" allUniqueName="[Internet].[Region of Residence].[All]" dimensionUniqueName="[Internet]" displayFolder="" count="0" memberValueDatatype="130" unbalanced="0"/>
    <cacheHierarchy uniqueName="[Internet].[Internet Speed (Mbps)]" caption="Internet Speed (Mbps)" attribute="1" defaultMemberUniqueName="[Internet].[Internet Speed (Mbps)].[All]" allUniqueName="[Internet].[Internet Speed (Mbps)].[All]" dimensionUniqueName="[Internet]" displayFolder="" count="0" memberValueDatatype="5" unbalanced="0"/>
    <cacheHierarchy uniqueName="[Internet].[Cost per Mbps]" caption="Cost per Mbps" attribute="1" defaultMemberUniqueName="[Internet].[Cost per Mbps].[All]" allUniqueName="[Internet].[Cost per Mbps].[All]" dimensionUniqueName="[Internet]" displayFolder="" count="0" memberValueDatatype="5" unbalanced="0"/>
    <cacheHierarchy uniqueName="[Internet].[Internet Penetration Rate]" caption="Internet Penetration Rate" attribute="1" defaultMemberUniqueName="[Internet].[Internet Penetration Rate].[All]" allUniqueName="[Internet].[Internet Penetration Rate].[All]" dimensionUniqueName="[Internet]" displayFolder="" count="0" memberValueDatatype="5" unbalanced="0"/>
    <cacheHierarchy uniqueName="[Internet].[Internet Censorship Index]" caption="Internet Censorship Index" attribute="1" defaultMemberUniqueName="[Internet].[Internet Censorship Index].[All]" allUniqueName="[Internet].[Internet Censorship Index].[All]" dimensionUniqueName="[Internet]" displayFolder="" count="0" memberValueDatatype="20" unbalanced="0"/>
    <cacheHierarchy uniqueName="[Internet].[Cybersecurity Index]" caption="Cybersecurity Index" attribute="1" defaultMemberUniqueName="[Internet].[Cybersecurity Index].[All]" allUniqueName="[Internet].[Cybersecurity Index].[All]" dimensionUniqueName="[Internet]" displayFolder="" count="0" memberValueDatatype="5" unbalanced="0"/>
    <cacheHierarchy uniqueName="[purchasing_power_parity_ppp].[Country]" caption="Country" attribute="1" defaultMemberUniqueName="[purchasing_power_parity_ppp].[Country].[All]" allUniqueName="[purchasing_power_parity_ppp].[Country].[All]" dimensionUniqueName="[purchasing_power_parity_ppp]" displayFolder="" count="0" memberValueDatatype="130" unbalanced="0"/>
    <cacheHierarchy uniqueName="[purchasing_power_parity_ppp].[Indicator Name]" caption="Indicator Name" attribute="1" defaultMemberUniqueName="[purchasing_power_parity_ppp].[Indicator Name].[All]" allUniqueName="[purchasing_power_parity_ppp].[Indicator Name].[All]" dimensionUniqueName="[purchasing_power_parity_ppp]" displayFolder="" count="0" memberValueDatatype="130" unbalanced="0"/>
    <cacheHierarchy uniqueName="[purchasing_power_parity_ppp].[Year]" caption="Year" attribute="1" defaultMemberUniqueName="[purchasing_power_parity_ppp].[Year].[All]" allUniqueName="[purchasing_power_parity_ppp].[Year].[All]" dimensionUniqueName="[purchasing_power_parity_ppp]" displayFolder="" count="0" memberValueDatatype="20" unbalanced="0"/>
    <cacheHierarchy uniqueName="[purchasing_power_parity_ppp].[PPP]" caption="PPP" attribute="1" defaultMemberUniqueName="[purchasing_power_parity_ppp].[PPP].[All]" allUniqueName="[purchasing_power_parity_ppp].[PPP].[All]" dimensionUniqueName="[purchasing_power_parity_ppp]" displayFolder="" count="0" memberValueDatatype="5" unbalanced="0"/>
    <cacheHierarchy uniqueName="[purchasing-power-parity-ppp].[Country]" caption="Country" attribute="1" defaultMemberUniqueName="[purchasing-power-parity-ppp].[Country].[All]" allUniqueName="[purchasing-power-parity-ppp].[Country].[All]" dimensionUniqueName="[purchasing-power-parity-ppp]" displayFolder="" count="0" memberValueDatatype="130" unbalanced="0"/>
    <cacheHierarchy uniqueName="[purchasing-power-parity-ppp].[Indicator Name]" caption="Indicator Name" attribute="1" defaultMemberUniqueName="[purchasing-power-parity-ppp].[Indicator Name].[All]" allUniqueName="[purchasing-power-parity-ppp].[Indicator Name].[All]" dimensionUniqueName="[purchasing-power-parity-ppp]" displayFolder="" count="0" memberValueDatatype="130" unbalanced="0"/>
    <cacheHierarchy uniqueName="[purchasing-power-parity-ppp].[Year]" caption="Year" attribute="1" defaultMemberUniqueName="[purchasing-power-parity-ppp].[Year].[All]" allUniqueName="[purchasing-power-parity-ppp].[Year].[All]" dimensionUniqueName="[purchasing-power-parity-ppp]" displayFolder="" count="0" memberValueDatatype="20" unbalanced="0"/>
    <cacheHierarchy uniqueName="[purchasing-power-parity-ppp].[PPP]" caption="PPP" attribute="1" defaultMemberUniqueName="[purchasing-power-parity-ppp].[PPP].[All]" allUniqueName="[purchasing-power-parity-ppp].[PPP].[All]" dimensionUniqueName="[purchasing-power-parity-ppp]" displayFolder="" count="0" memberValueDatatype="5" unbalanced="0"/>
    <cacheHierarchy uniqueName="[QualityofLife].[Region of Residence]" caption="Region of Residence" attribute="1" defaultMemberUniqueName="[QualityofLife].[Region of Residence].[All]" allUniqueName="[QualityofLife].[Region of Residence].[All]" dimensionUniqueName="[QualityofLife]" displayFolder="" count="0" memberValueDatatype="130" unbalanced="0"/>
    <cacheHierarchy uniqueName="[QualityofLife].[Life Expectancy]" caption="Life Expectancy" attribute="1" defaultMemberUniqueName="[QualityofLife].[Life Expectancy].[All]" allUniqueName="[QualityofLife].[Life Expectancy].[All]" dimensionUniqueName="[QualityofLife]" displayFolder="" count="0" memberValueDatatype="5" unbalanced="0"/>
    <cacheHierarchy uniqueName="[QualityofLife].[Education Index (Literacy or school enrollment)]" caption="Education Index (Literacy or school enrollment)" attribute="1" defaultMemberUniqueName="[QualityofLife].[Education Index (Literacy or school enrollment)].[All]" allUniqueName="[QualityofLife].[Education Index (Literacy or school enrollment)].[All]" dimensionUniqueName="[QualityofLife]" displayFolder="" count="0" memberValueDatatype="5" unbalanced="0"/>
    <cacheHierarchy uniqueName="[QualityofLife].[GDP per capita]" caption="GDP per capita" attribute="1" defaultMemberUniqueName="[QualityofLife].[GDP per capita].[All]" allUniqueName="[QualityofLife].[GDP per capita].[All]" dimensionUniqueName="[QualityofLife]" displayFolder="" count="0" memberValueDatatype="20" unbalanced="0"/>
    <cacheHierarchy uniqueName="[QualityofLife].[Safety Rate]" caption="Safety Rate" attribute="1" defaultMemberUniqueName="[QualityofLife].[Safety Rate].[All]" allUniqueName="[QualityofLife].[Safety Rate].[All]" dimensionUniqueName="[QualityofLife]" displayFolder="" count="0" memberValueDatatype="5" unbalanced="0"/>
    <cacheHierarchy uniqueName="[QualityofLife].[Pollution Index]" caption="Pollution Index" attribute="1" defaultMemberUniqueName="[QualityofLife].[Pollution Index].[All]" allUniqueName="[QualityofLife].[Pollution Index].[All]" dimensionUniqueName="[QualityofLife]" displayFolder="" count="0" memberValueDatatype="5" unbalanced="0"/>
    <cacheHierarchy uniqueName="[QualityofLife].[Climate Index]" caption="Climate Index" attribute="1" defaultMemberUniqueName="[QualityofLife].[Climate Index].[All]" allUniqueName="[QualityofLife].[Climate Index].[All]" dimensionUniqueName="[QualityofLife]" displayFolder="" count="0" memberValueDatatype="5" unbalanced="0"/>
    <cacheHierarchy uniqueName="[QualityofLife].[Property price to income ratio]" caption="Property price to income ratio" attribute="1" defaultMemberUniqueName="[QualityofLife].[Property price to income ratio].[All]" allUniqueName="[QualityofLife].[Property price to income ratio].[All]" dimensionUniqueName="[QualityofLife]" displayFolder="" count="0" memberValueDatatype="5" unbalanced="0"/>
    <cacheHierarchy uniqueName="[QualityofLife].[Traffic commute time index]" caption="Traffic commute time index" attribute="1" defaultMemberUniqueName="[QualityofLife].[Traffic commute time index].[All]" allUniqueName="[QualityofLife].[Traffic commute time index].[All]" dimensionUniqueName="[QualityofLife]" displayFolder="" count="0" memberValueDatatype="5" unbalanced="0"/>
    <cacheHierarchy uniqueName="[QualityofLife].[Personal Freedom and Human Rights]" caption="Personal Freedom and Human Rights" attribute="1" defaultMemberUniqueName="[QualityofLife].[Personal Freedom and Human Rights].[All]" allUniqueName="[QualityofLife].[Personal Freedom and Human Rights].[All]" dimensionUniqueName="[QualityofLife]" displayFolder="" count="0" memberValueDatatype="5" unbalanced="0"/>
    <cacheHierarchy uniqueName="[Region].[Region of Residence]" caption="Region of Residence" attribute="1" defaultMemberUniqueName="[Region].[Region of Residence].[All]" allUniqueName="[Region].[Region of Residence].[All]" dimensionUniqueName="[Region]" displayFolder="" count="2" memberValueDatatype="130" unbalanced="0"/>
    <cacheHierarchy uniqueName="[Measures].[__XL_Count BusinessEnvironment]" caption="__XL_Count BusinessEnvironment" measure="1" displayFolder="" measureGroup="BusinessEnvironment" count="0" hidden="1"/>
    <cacheHierarchy uniqueName="[Measures].[__XL_Count Cost]" caption="__XL_Count Cost" measure="1" displayFolder="" measureGroup="Cost" count="0" hidden="1"/>
    <cacheHierarchy uniqueName="[Measures].[__XL_Count Healthcare]" caption="__XL_Count Healthcare" measure="1" displayFolder="" measureGroup="Healthcare" count="0" hidden="1"/>
    <cacheHierarchy uniqueName="[Measures].[__XL_Count Internet]" caption="__XL_Count Internet" measure="1" displayFolder="" measureGroup="Internet" count="0" hidden="1"/>
    <cacheHierarchy uniqueName="[Measures].[__XL_Count QualityofLife]" caption="__XL_Count QualityofLife" measure="1" displayFolder="" measureGroup="QualityofLife" count="0" hidden="1"/>
    <cacheHierarchy uniqueName="[Measures].[__XL_Count Region]" caption="__XL_Count Region" measure="1" displayFolder="" measureGroup="Region" count="0" hidden="1"/>
    <cacheHierarchy uniqueName="[Measures].[__XL_Count purchasing-power-parity-ppp]" caption="__XL_Count purchasing-power-parity-ppp" measure="1" displayFolder="" measureGroup="purchasing-power-parity-ppp" count="0" hidden="1"/>
    <cacheHierarchy uniqueName="[Measures].[__XL_Count purchasing_power_parity_ppp]" caption="__XL_Count purchasing_power_parity_ppp" measure="1" displayFolder="" measureGroup="purchasing_power_parity_ppp" count="0" hidden="1"/>
    <cacheHierarchy uniqueName="[Measures].[__No measures defined]" caption="__No measures defined" measure="1" displayFolder="" count="0" hidden="1"/>
    <cacheHierarchy uniqueName="[Measures].[Sum of Healthcare]" caption="Sum of Healthcare" measure="1" displayFolder="" measureGroup="Cost" count="0" hidden="1">
      <extLst>
        <ext xmlns:x15="http://schemas.microsoft.com/office/spreadsheetml/2010/11/main" uri="{B97F6D7D-B522-45F9-BDA1-12C45D357490}">
          <x15:cacheHierarchy aggregatedColumn="13"/>
        </ext>
      </extLst>
    </cacheHierarchy>
    <cacheHierarchy uniqueName="[Measures].[Sum of Corruption Index]" caption="Sum of Corruption Index" measure="1" displayFolder="" measureGroup="BusinessEnvironment" count="0" hidden="1">
      <extLst>
        <ext xmlns:x15="http://schemas.microsoft.com/office/spreadsheetml/2010/11/main" uri="{B97F6D7D-B522-45F9-BDA1-12C45D357490}">
          <x15:cacheHierarchy aggregatedColumn="4"/>
        </ext>
      </extLst>
    </cacheHierarchy>
    <cacheHierarchy uniqueName="[Measures].[Sum of Intellectual Property Protection Index]" caption="Sum of Intellectual Property Protection Index" measure="1" displayFolder="" measureGroup="BusinessEnvironment" count="0" hidden="1">
      <extLst>
        <ext xmlns:x15="http://schemas.microsoft.com/office/spreadsheetml/2010/11/main" uri="{B97F6D7D-B522-45F9-BDA1-12C45D357490}">
          <x15:cacheHierarchy aggregatedColumn="5"/>
        </ext>
      </extLst>
    </cacheHierarchy>
    <cacheHierarchy uniqueName="[Measures].[Sum of Stock Market Cap (Million)]" caption="Sum of Stock Market Cap (Million)" measure="1" displayFolder="" measureGroup="BusinessEnvironment" count="0" hidden="1">
      <extLst>
        <ext xmlns:x15="http://schemas.microsoft.com/office/spreadsheetml/2010/11/main" uri="{B97F6D7D-B522-45F9-BDA1-12C45D357490}">
          <x15:cacheHierarchy aggregatedColumn="6"/>
        </ext>
      </extLst>
    </cacheHierarchy>
    <cacheHierarchy uniqueName="[Measures].[Sum of Internet Penetration Rate]" caption="Sum of Internet Penetration Rate" measure="1" displayFolder="" measureGroup="Internet" count="0" hidden="1"/>
    <cacheHierarchy uniqueName="[Measures].[Sum of Cost per Mbps]" caption="Sum of Cost per Mbps" measure="1" displayFolder="" measureGroup="Internet" count="0" hidden="1">
      <extLst>
        <ext xmlns:x15="http://schemas.microsoft.com/office/spreadsheetml/2010/11/main" uri="{B97F6D7D-B522-45F9-BDA1-12C45D357490}">
          <x15:cacheHierarchy aggregatedColumn="29"/>
        </ext>
      </extLst>
    </cacheHierarchy>
    <cacheHierarchy uniqueName="[Measures].[Sum of Hospital Bed Density]" caption="Sum of Hospital Bed Density" measure="1" displayFolder="" measureGroup="Healthcare" count="0" hidden="1"/>
    <cacheHierarchy uniqueName="[Measures].[Sum of Doctors (per 10000)]" caption="Sum of Doctors (per 10000)" measure="1" displayFolder="" measureGroup="Healthcare" count="0" hidden="1">
      <extLst>
        <ext xmlns:x15="http://schemas.microsoft.com/office/spreadsheetml/2010/11/main" uri="{B97F6D7D-B522-45F9-BDA1-12C45D357490}">
          <x15:cacheHierarchy aggregatedColumn="23"/>
        </ext>
      </extLst>
    </cacheHierarchy>
    <cacheHierarchy uniqueName="[Measures].[Sum of Education]" caption="Sum of Education" measure="1" displayFolder="" measureGroup="Cost" count="0" hidden="1">
      <extLst>
        <ext xmlns:x15="http://schemas.microsoft.com/office/spreadsheetml/2010/11/main" uri="{B97F6D7D-B522-45F9-BDA1-12C45D357490}">
          <x15:cacheHierarchy aggregatedColumn="14"/>
        </ext>
      </extLst>
    </cacheHierarchy>
    <cacheHierarchy uniqueName="[Measures].[Sum of Climate Index]" caption="Sum of Climate Index" measure="1" displayFolder="" measureGroup="QualityofLife" count="0" hidden="1">
      <extLst>
        <ext xmlns:x15="http://schemas.microsoft.com/office/spreadsheetml/2010/11/main" uri="{B97F6D7D-B522-45F9-BDA1-12C45D357490}">
          <x15:cacheHierarchy aggregatedColumn="47"/>
        </ext>
      </extLst>
    </cacheHierarchy>
    <cacheHierarchy uniqueName="[Measures].[Sum of Median Income]" caption="Sum of Median Income" measure="1" displayFolder="" measureGroup="BusinessEnvironment" count="0" hidden="1">
      <extLst>
        <ext xmlns:x15="http://schemas.microsoft.com/office/spreadsheetml/2010/11/main" uri="{B97F6D7D-B522-45F9-BDA1-12C45D357490}">
          <x15:cacheHierarchy aggregatedColumn="7"/>
        </ext>
      </extLst>
    </cacheHierarchy>
    <cacheHierarchy uniqueName="[Measures].[Sum of Transportation Index]" caption="Sum of Transportation Index" measure="1" displayFolder="" measureGroup="BusinessEnvironment" count="0" hidden="1">
      <extLst>
        <ext xmlns:x15="http://schemas.microsoft.com/office/spreadsheetml/2010/11/main" uri="{B97F6D7D-B522-45F9-BDA1-12C45D357490}">
          <x15:cacheHierarchy aggregatedColumn="8"/>
        </ext>
      </extLst>
    </cacheHierarchy>
    <cacheHierarchy uniqueName="[Measures].[Sum of Healthcare Access and Quality]" caption="Sum of Healthcare Access and Quality" measure="1" displayFolder="" measureGroup="Healthcare" count="0" hidden="1">
      <extLst>
        <ext xmlns:x15="http://schemas.microsoft.com/office/spreadsheetml/2010/11/main" uri="{B97F6D7D-B522-45F9-BDA1-12C45D357490}">
          <x15:cacheHierarchy aggregatedColumn="26"/>
        </ext>
      </extLst>
    </cacheHierarchy>
    <cacheHierarchy uniqueName="[Measures].[Sum of Internet Speed (Mbps)]" caption="Sum of Internet Speed (Mbps)" measure="1" displayFolder="" measureGroup="Internet" count="0" hidden="1">
      <extLst>
        <ext xmlns:x15="http://schemas.microsoft.com/office/spreadsheetml/2010/11/main" uri="{B97F6D7D-B522-45F9-BDA1-12C45D357490}">
          <x15:cacheHierarchy aggregatedColumn="28"/>
        </ext>
      </extLst>
    </cacheHierarchy>
    <cacheHierarchy uniqueName="[Measures].[Sum of Corporate Tax rates]" caption="Sum of Corporate Tax rates" measure="1" displayFolder="" measureGroup="BusinessEnvironment" count="0" hidden="1">
      <extLst>
        <ext xmlns:x15="http://schemas.microsoft.com/office/spreadsheetml/2010/11/main" uri="{B97F6D7D-B522-45F9-BDA1-12C45D357490}">
          <x15:cacheHierarchy aggregatedColumn="2"/>
        </ext>
      </extLst>
    </cacheHierarchy>
    <cacheHierarchy uniqueName="[Measures].[Sum of Education Index (Literacy or school enrollment)]" caption="Sum of Education Index (Literacy or school enrollment)" measure="1" displayFolder="" measureGroup="QualityofLife" count="0" hidden="1">
      <extLst>
        <ext xmlns:x15="http://schemas.microsoft.com/office/spreadsheetml/2010/11/main" uri="{B97F6D7D-B522-45F9-BDA1-12C45D357490}">
          <x15:cacheHierarchy aggregatedColumn="43"/>
        </ext>
      </extLst>
    </cacheHierarchy>
    <cacheHierarchy uniqueName="[Measures].[Sum of Housing Price to Income Ratio]" caption="Sum of Housing Price to Income Ratio" measure="1" displayFolder="" measureGroup="Cost" count="0" hidden="1">
      <extLst>
        <ext xmlns:x15="http://schemas.microsoft.com/office/spreadsheetml/2010/11/main" uri="{B97F6D7D-B522-45F9-BDA1-12C45D357490}">
          <x15:cacheHierarchy aggregatedColumn="10"/>
        </ext>
      </extLst>
    </cacheHierarchy>
    <cacheHierarchy uniqueName="[Measures].[Sum of Food]" caption="Sum of Food" measure="1" displayFolder="" measureGroup="Cost" count="0" hidden="1">
      <extLst>
        <ext xmlns:x15="http://schemas.microsoft.com/office/spreadsheetml/2010/11/main" uri="{B97F6D7D-B522-45F9-BDA1-12C45D357490}">
          <x15:cacheHierarchy aggregatedColumn="11"/>
        </ext>
      </extLst>
    </cacheHierarchy>
    <cacheHierarchy uniqueName="[Measures].[Sum of Property price to income ratio]" caption="Sum of Property price to income ratio" measure="1" displayFolder="" measureGroup="QualityofLife" count="0" hidden="1">
      <extLst>
        <ext xmlns:x15="http://schemas.microsoft.com/office/spreadsheetml/2010/11/main" uri="{B97F6D7D-B522-45F9-BDA1-12C45D357490}">
          <x15:cacheHierarchy aggregatedColumn="48"/>
        </ext>
      </extLst>
    </cacheHierarchy>
    <cacheHierarchy uniqueName="[Measures].[Sum of GDP per capita]" caption="Sum of GDP per capita" measure="1" displayFolder="" measureGroup="QualityofLife" count="0" hidden="1">
      <extLst>
        <ext xmlns:x15="http://schemas.microsoft.com/office/spreadsheetml/2010/11/main" uri="{B97F6D7D-B522-45F9-BDA1-12C45D357490}">
          <x15:cacheHierarchy aggregatedColumn="44"/>
        </ext>
      </extLst>
    </cacheHierarchy>
    <cacheHierarchy uniqueName="[Measures].[Sum of Innovation Ranking]" caption="Sum of Innovation Ranking" measure="1" displayFolder="" measureGroup="BusinessEnvironment" count="0" hidden="1">
      <extLst>
        <ext xmlns:x15="http://schemas.microsoft.com/office/spreadsheetml/2010/11/main" uri="{B97F6D7D-B522-45F9-BDA1-12C45D357490}">
          <x15:cacheHierarchy aggregatedColumn="3"/>
        </ext>
      </extLst>
    </cacheHierarchy>
    <cacheHierarchy uniqueName="[Measures].[Sum of Ease of doing business Index]" caption="Sum of Ease of doing business Index" measure="1" displayFolder="" measureGroup="BusinessEnvironment" count="0" hidden="1">
      <extLst>
        <ext xmlns:x15="http://schemas.microsoft.com/office/spreadsheetml/2010/11/main" uri="{B97F6D7D-B522-45F9-BDA1-12C45D357490}">
          <x15:cacheHierarchy aggregatedColumn="1"/>
        </ext>
      </extLst>
    </cacheHierarchy>
    <cacheHierarchy uniqueName="[Measures].[Sum of Health Insurance Coverage]" caption="Sum of Health Insurance Coverage" measure="1" displayFolder="" measureGroup="Healthcare" count="0" hidden="1">
      <extLst>
        <ext xmlns:x15="http://schemas.microsoft.com/office/spreadsheetml/2010/11/main" uri="{B97F6D7D-B522-45F9-BDA1-12C45D357490}">
          <x15:cacheHierarchy aggregatedColumn="22"/>
        </ext>
      </extLst>
    </cacheHierarchy>
    <cacheHierarchy uniqueName="[Measures].[Sum of PPP]" caption="Sum of PPP" measure="1" displayFolder="" measureGroup="purchasing_power_parity_ppp" count="0" hidden="1">
      <extLst>
        <ext xmlns:x15="http://schemas.microsoft.com/office/spreadsheetml/2010/11/main" uri="{B97F6D7D-B522-45F9-BDA1-12C45D357490}">
          <x15:cacheHierarchy aggregatedColumn="36"/>
        </ext>
      </extLst>
    </cacheHierarchy>
    <cacheHierarchy uniqueName="[Measures].[Sum of Year]" caption="Sum of Year" measure="1" displayFolder="" measureGroup="purchasing_power_parity_ppp" count="0" hidden="1">
      <extLst>
        <ext xmlns:x15="http://schemas.microsoft.com/office/spreadsheetml/2010/11/main" uri="{B97F6D7D-B522-45F9-BDA1-12C45D357490}">
          <x15:cacheHierarchy aggregatedColumn="35"/>
        </ext>
      </extLst>
    </cacheHierarchy>
  </cacheHierarchies>
  <kpis count="0"/>
  <extLst>
    <ext xmlns:x14="http://schemas.microsoft.com/office/spreadsheetml/2009/9/main" uri="{725AE2AE-9491-48be-B2B4-4EB974FC3084}">
      <x14:pivotCacheDefinition slicerData="1" pivotCacheId="211599401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0F1C5C-B79C-4C6E-9D70-C17D6F08DE6A}" name="Business" cacheId="2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rowHeaderCaption="Countries">
  <location ref="A21:B27"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Ease of doing business" fld="1" baseField="0" baseItem="0"/>
  </dataFields>
  <chartFormats count="1">
    <chartFormat chart="2" format="2" series="1">
      <pivotArea type="data" outline="0" fieldPosition="0">
        <references count="1">
          <reference field="4294967294" count="1" selected="0">
            <x v="0"/>
          </reference>
        </references>
      </pivotArea>
    </chartFormat>
  </chartFormats>
  <pivotHierarchies count="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Corporate Tax rates"/>
    <pivotHierarchy dragToData="1"/>
    <pivotHierarchy dragToData="1"/>
    <pivotHierarchy dragToData="1"/>
    <pivotHierarchy dragToData="1"/>
    <pivotHierarchy dragToRow="0" dragToCol="0" dragToPage="0" dragToData="1"/>
    <pivotHierarchy dragToData="1"/>
    <pivotHierarchy dragToData="1" caption="Ease of doing business"/>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usinessEnvironment]"/>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354A507-44CF-4ACF-B33E-43A7CE0F8728}" name="Cost" cacheId="2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 rowHeaderCaption="Countries">
  <location ref="A3:D9" firstHeaderRow="0" firstDataRow="1" firstDataCol="1"/>
  <pivotFields count="5">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3">
    <i>
      <x/>
    </i>
    <i i="1">
      <x v="1"/>
    </i>
    <i i="2">
      <x v="2"/>
    </i>
  </colItems>
  <dataFields count="3">
    <dataField name="Food" fld="1" baseField="0" baseItem="0"/>
    <dataField name="Healthcare" fld="2" baseField="0" baseItem="0"/>
    <dataField name="Education" fld="3" baseField="0"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Hierarchies count="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Healthcare"/>
    <pivotHierarchy dragToData="1"/>
    <pivotHierarchy dragToData="1"/>
    <pivotHierarchy dragToData="1"/>
    <pivotHierarchy dragToRow="0" dragToCol="0" dragToPage="0" dragToData="1"/>
    <pivotHierarchy dragToData="1"/>
    <pivotHierarchy dragToRow="0" dragToCol="0" dragToPage="0" dragToData="1"/>
    <pivotHierarchy dragToData="1"/>
    <pivotHierarchy dragToData="1" caption="Education"/>
    <pivotHierarchy dragToData="1"/>
    <pivotHierarchy dragToData="1"/>
    <pivotHierarchy dragToData="1"/>
    <pivotHierarchy dragToData="1"/>
    <pivotHierarchy dragToData="1"/>
    <pivotHierarchy dragToData="1"/>
    <pivotHierarchy dragToData="1"/>
    <pivotHierarchy dragToData="1"/>
    <pivotHierarchy dragToData="1" caption="Food"/>
    <pivotHierarchy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st]"/>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65416AC-343C-43A2-8EAA-FA247389374B}" name="PPP"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Countries">
  <location ref="A48:B54" firstHeaderRow="1" firstDataRow="1" firstDataCol="1"/>
  <pivotFields count="2">
    <pivotField axis="axisRow" allDrilled="1" subtotalTop="0" showAll="0" dataSourceSort="1" defaultSubtotal="0" defaultAttributeDrillState="1">
      <items count="5">
        <item s="1" x="0"/>
        <item s="1" x="1"/>
        <item s="1" x="2"/>
        <item s="1" x="3"/>
        <item s="1" x="4"/>
      </items>
    </pivotField>
    <pivotField dataField="1" subtotalTop="0" showAll="0" defaultSubtotal="0"/>
  </pivotFields>
  <rowFields count="1">
    <field x="0"/>
  </rowFields>
  <rowItems count="6">
    <i>
      <x/>
    </i>
    <i>
      <x v="1"/>
    </i>
    <i>
      <x v="2"/>
    </i>
    <i>
      <x v="3"/>
    </i>
    <i>
      <x v="4"/>
    </i>
    <i t="grand">
      <x/>
    </i>
  </rowItems>
  <colItems count="1">
    <i/>
  </colItems>
  <dataFields count="1">
    <dataField name="PPP" fld="1" baseField="0" baseItem="0" numFmtId="2"/>
  </dataFields>
  <chartFormats count="1">
    <chartFormat chart="4" format="3" series="1">
      <pivotArea type="data" outline="0" fieldPosition="0">
        <references count="1">
          <reference field="4294967294" count="1" selected="0">
            <x v="0"/>
          </reference>
        </references>
      </pivotArea>
    </chartFormat>
  </chartFormats>
  <pivotHierarchies count="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PP"/>
    <pivotHierarchy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601 Final Project 3rd version.xlsx!purchasing_power_parity_ppp">
        <x15:activeTabTopLevelEntity name="[purchasing_power_parity_ppp]"/>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210EAC7-9F77-4CD2-B51D-D5ACC4370D81}" name="PivotTable1"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57:B63"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Corporate Tax rates" fld="1" baseField="0" baseItem="0" numFmtId="9"/>
  </dataFields>
  <formats count="1">
    <format dxfId="24">
      <pivotArea outline="0" collapsedLevelsAreSubtotals="1" fieldPosition="0"/>
    </format>
  </formats>
  <chartFormats count="6">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0" count="1" selected="0">
            <x v="0"/>
          </reference>
        </references>
      </pivotArea>
    </chartFormat>
    <chartFormat chart="1" format="3">
      <pivotArea type="data" outline="0" fieldPosition="0">
        <references count="2">
          <reference field="4294967294" count="1" selected="0">
            <x v="0"/>
          </reference>
          <reference field="0" count="1" selected="0">
            <x v="1"/>
          </reference>
        </references>
      </pivotArea>
    </chartFormat>
    <chartFormat chart="1" format="4">
      <pivotArea type="data" outline="0" fieldPosition="0">
        <references count="2">
          <reference field="4294967294" count="1" selected="0">
            <x v="0"/>
          </reference>
          <reference field="0" count="1" selected="0">
            <x v="2"/>
          </reference>
        </references>
      </pivotArea>
    </chartFormat>
    <chartFormat chart="1" format="5">
      <pivotArea type="data" outline="0" fieldPosition="0">
        <references count="2">
          <reference field="4294967294" count="1" selected="0">
            <x v="0"/>
          </reference>
          <reference field="0" count="1" selected="0">
            <x v="3"/>
          </reference>
        </references>
      </pivotArea>
    </chartFormat>
    <chartFormat chart="1" format="6">
      <pivotArea type="data" outline="0" fieldPosition="0">
        <references count="2">
          <reference field="4294967294" count="1" selected="0">
            <x v="0"/>
          </reference>
          <reference field="0" count="1" selected="0">
            <x v="4"/>
          </reference>
        </references>
      </pivotArea>
    </chartFormat>
  </chartFormats>
  <pivotHierarchies count="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Stock Market Cap (Million)"/>
    <pivotHierarchy dragToRow="0" dragToCol="0" dragToPage="0"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Corporate Tax rate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601 Final Project 1.xlsx!BusinessEnvironment">
        <x15:activeTabTopLevelEntity name="[BusinessEnvironment]"/>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276AF7-671C-4000-AF6E-E3784A2B7E36}" name="Quality" cacheId="2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rowHeaderCaption="Countries">
  <location ref="A12:C18" firstHeaderRow="0"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2">
    <i>
      <x/>
    </i>
    <i i="1">
      <x v="1"/>
    </i>
  </colItems>
  <dataFields count="2">
    <dataField name="Property/income" fld="1" baseField="0" baseItem="0"/>
    <dataField name="GDP per capita" fld="2" baseField="0" baseItem="0"/>
  </dataFields>
  <formats count="1">
    <format dxfId="25">
      <pivotArea collapsedLevelsAreSubtotals="1" fieldPosition="0">
        <references count="2">
          <reference field="4294967294" count="1" selected="0">
            <x v="0"/>
          </reference>
          <reference field="0" count="0"/>
        </references>
      </pivotArea>
    </format>
  </formats>
  <chartFormats count="1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2" format="4">
      <pivotArea type="data" outline="0" fieldPosition="0">
        <references count="2">
          <reference field="4294967294" count="1" selected="0">
            <x v="0"/>
          </reference>
          <reference field="0" count="1" selected="0">
            <x v="0"/>
          </reference>
        </references>
      </pivotArea>
    </chartFormat>
    <chartFormat chart="2" format="5">
      <pivotArea type="data" outline="0" fieldPosition="0">
        <references count="2">
          <reference field="4294967294" count="1" selected="0">
            <x v="0"/>
          </reference>
          <reference field="0" count="1" selected="0">
            <x v="1"/>
          </reference>
        </references>
      </pivotArea>
    </chartFormat>
    <chartFormat chart="2" format="6">
      <pivotArea type="data" outline="0" fieldPosition="0">
        <references count="2">
          <reference field="4294967294" count="1" selected="0">
            <x v="0"/>
          </reference>
          <reference field="0" count="1" selected="0">
            <x v="2"/>
          </reference>
        </references>
      </pivotArea>
    </chartFormat>
    <chartFormat chart="2" format="7">
      <pivotArea type="data" outline="0" fieldPosition="0">
        <references count="2">
          <reference field="4294967294" count="1" selected="0">
            <x v="0"/>
          </reference>
          <reference field="0" count="1" selected="0">
            <x v="3"/>
          </reference>
        </references>
      </pivotArea>
    </chartFormat>
    <chartFormat chart="2" format="8">
      <pivotArea type="data" outline="0" fieldPosition="0">
        <references count="2">
          <reference field="4294967294" count="1" selected="0">
            <x v="0"/>
          </reference>
          <reference field="0" count="1" selected="0">
            <x v="4"/>
          </reference>
        </references>
      </pivotArea>
    </chartFormat>
    <chartFormat chart="2" format="9">
      <pivotArea type="data" outline="0" fieldPosition="0">
        <references count="2">
          <reference field="4294967294" count="1" selected="0">
            <x v="1"/>
          </reference>
          <reference field="0" count="1" selected="0">
            <x v="0"/>
          </reference>
        </references>
      </pivotArea>
    </chartFormat>
    <chartFormat chart="2" format="10">
      <pivotArea type="data" outline="0" fieldPosition="0">
        <references count="2">
          <reference field="4294967294" count="1" selected="0">
            <x v="1"/>
          </reference>
          <reference field="0" count="1" selected="0">
            <x v="1"/>
          </reference>
        </references>
      </pivotArea>
    </chartFormat>
    <chartFormat chart="2" format="11">
      <pivotArea type="data" outline="0" fieldPosition="0">
        <references count="2">
          <reference field="4294967294" count="1" selected="0">
            <x v="1"/>
          </reference>
          <reference field="0" count="1" selected="0">
            <x v="2"/>
          </reference>
        </references>
      </pivotArea>
    </chartFormat>
    <chartFormat chart="2" format="12">
      <pivotArea type="data" outline="0" fieldPosition="0">
        <references count="2">
          <reference field="4294967294" count="1" selected="0">
            <x v="1"/>
          </reference>
          <reference field="0" count="1" selected="0">
            <x v="3"/>
          </reference>
        </references>
      </pivotArea>
    </chartFormat>
    <chartFormat chart="2" format="13">
      <pivotArea type="data" outline="0" fieldPosition="0">
        <references count="2">
          <reference field="4294967294" count="1" selected="0">
            <x v="1"/>
          </reference>
          <reference field="0" count="1" selected="0">
            <x v="4"/>
          </reference>
        </references>
      </pivotArea>
    </chartFormat>
  </chartFormats>
  <pivotHierarchies count="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operty/income"/>
    <pivotHierarchy dragToRow="0" dragToCol="0" dragToPage="0" dragToData="1" caption="GDP per capita"/>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QualityofLife]"/>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3A723B9-56EE-4119-818B-F131820EC732}" name="Healthcare" cacheId="2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rowHeaderCaption="Countries">
  <location ref="A39:C45" firstHeaderRow="0"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2">
    <i>
      <x/>
    </i>
    <i i="1">
      <x v="1"/>
    </i>
  </colItems>
  <dataFields count="2">
    <dataField name="Healthcare Quality" fld="1" baseField="0" baseItem="0"/>
    <dataField name="Health Insurance Coverage" fld="2" baseField="0" baseItem="0"/>
  </dataFields>
  <formats count="1">
    <format dxfId="26">
      <pivotArea collapsedLevelsAreSubtotals="1" fieldPosition="0">
        <references count="2">
          <reference field="4294967294" count="1" selected="0">
            <x v="1"/>
          </reference>
          <reference field="0" count="0"/>
        </references>
      </pivotArea>
    </format>
  </format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Hierarchies count="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ToData="1"/>
    <pivotHierarchy dragToData="1"/>
    <pivotHierarchy dragToRow="0" dragToCol="0" dragToPage="0" dragToData="1"/>
    <pivotHierarchy dragToData="1"/>
    <pivotHierarchy dragToData="1"/>
    <pivotHierarchy dragToData="1"/>
    <pivotHierarchy dragToData="1"/>
    <pivotHierarchy dragToData="1"/>
    <pivotHierarchy dragToData="1" caption="Healthcare Quality"/>
    <pivotHierarchy dragToData="1"/>
    <pivotHierarchy dragToData="1"/>
    <pivotHierarchy dragToData="1"/>
    <pivotHierarchy dragToData="1"/>
    <pivotHierarchy dragToData="1"/>
    <pivotHierarchy dragToData="1"/>
    <pivotHierarchy dragToRow="0" dragToCol="0" dragToPage="0" dragToData="1"/>
    <pivotHierarchy dragToData="1"/>
    <pivotHierarchy dragToData="1"/>
    <pivotHierarchy dragToData="1" caption="Health Insurance Coverage"/>
    <pivotHierarchy dragToData="1"/>
    <pivotHierarchy dragToData="1"/>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ealthcare]"/>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3CE0D9F-21B0-4559-AF35-EE0896074100}" name="Internet" cacheId="2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 rowHeaderCaption="Countries">
  <location ref="A30:B36"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Internet Speed (Mbps)" fld="1" baseField="0" baseItem="0"/>
  </dataFields>
  <chartFormats count="1">
    <chartFormat chart="1" format="1" series="1">
      <pivotArea type="data" outline="0" fieldPosition="0">
        <references count="1">
          <reference field="4294967294" count="1" selected="0">
            <x v="0"/>
          </reference>
        </references>
      </pivotArea>
    </chartFormat>
  </chartFormats>
  <pivotHierarchies count="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Row="0" dragToCol="0" dragToPage="0"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caption="Internet Speed (Mbps)"/>
    <pivotHierarchy dragToData="1"/>
    <pivotHierarchy dragToData="1"/>
    <pivotHierarchy dragToData="1"/>
    <pivotHierarchy dragToData="1"/>
    <pivotHierarchy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ternet]"/>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B614734-B48B-4DA5-A860-4F7E267EBEFA}" autoFormatId="16" applyNumberFormats="0" applyBorderFormats="0" applyFontFormats="0" applyPatternFormats="0" applyAlignmentFormats="0" applyWidthHeightFormats="0">
  <queryTableRefresh nextId="5">
    <queryTableFields count="4">
      <queryTableField id="1" name="Country" tableColumnId="1"/>
      <queryTableField id="2" name="Indicator Name" tableColumnId="2"/>
      <queryTableField id="3" name="Year" tableColumnId="3"/>
      <queryTableField id="4" name="PPP" tableColumnId="4"/>
    </queryTableFields>
  </queryTableRefresh>
  <extLst>
    <ext xmlns:x15="http://schemas.microsoft.com/office/spreadsheetml/2010/11/main" uri="{883FBD77-0823-4a55-B5E3-86C4891E6966}">
      <x15:queryTable sourceDataName="Query - purchasing-power-parity-ppp"/>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_of_Residence" xr10:uid="{1FBF649D-B914-4E2E-9E10-F71C0824713E}" sourceName="[Region].[Region of Residence]">
  <pivotTables>
    <pivotTable tabId="15" name="Cost"/>
    <pivotTable tabId="15" name="Internet"/>
    <pivotTable tabId="15" name="Healthcare"/>
    <pivotTable tabId="15" name="Quality"/>
    <pivotTable tabId="15" name="Business"/>
    <pivotTable tabId="15" name="PivotTable1"/>
  </pivotTables>
  <data>
    <olap pivotCacheId="2115994016">
      <levels count="2">
        <level uniqueName="[Region].[Region of Residence].[(All)]" sourceCaption="(All)" count="0"/>
        <level uniqueName="[Region].[Region of Residence].[Region of Residence]" sourceCaption="Region of Residence" count="5">
          <ranges>
            <range startItem="0">
              <i n="[Region].[Region of Residence].&amp;[Hong Kong]" c="Hong Kong"/>
              <i n="[Region].[Region of Residence].&amp;[Kazakhstan]" c="Kazakhstan"/>
              <i n="[Region].[Region of Residence].&amp;[Pakistan]" c="Pakistan"/>
              <i n="[Region].[Region of Residence].&amp;[United States]" c="United States"/>
              <i n="[Region].[Region of Residence].&amp;[Vietnam]" c="Vietnam"/>
            </range>
          </ranges>
        </level>
      </levels>
      <selections count="1">
        <selection n="[Region].[Region of Residenc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of Residence" xr10:uid="{3C72FACE-5C90-4796-8D10-9F17B821513F}" cache="Slicer_Region_of_Residence" caption="Region of Residence" columnCount="5" level="1" style="SlicerStyleOther2"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6D05FD9-449B-4EFB-82B8-24525FC449CF}" name="Precipitation" displayName="Precipitation" ref="A2:F34" totalsRowShown="0" headerRowDxfId="45">
  <autoFilter ref="A2:F34" xr:uid="{66D05FD9-449B-4EFB-82B8-24525FC449CF}"/>
  <tableColumns count="6">
    <tableColumn id="1" xr3:uid="{F63A13F7-235E-4ADA-967C-8B307F74793C}" name="Date" dataDxfId="44"/>
    <tableColumn id="6" xr3:uid="{032C7626-6A33-4122-BF45-05EBA12A31C6}" name="Hong Kong" dataDxfId="43"/>
    <tableColumn id="2" xr3:uid="{E9105CDC-4BDD-4788-A2CB-8B9A16583639}" name="Hanoi, Vietnam" dataDxfId="42"/>
    <tableColumn id="3" xr3:uid="{391922F3-0C06-42CC-998F-4096DF51EFB0}" name="Astana, Kazakhstan" dataDxfId="41"/>
    <tableColumn id="4" xr3:uid="{409D1355-57EF-486C-B308-1FF103E6CE37}" name="Islamabad, Pakistan" dataDxfId="40"/>
    <tableColumn id="5" xr3:uid="{EB41A81B-B7DB-44B2-BE6F-BEA24763CF96}" name="DC, United States" dataDxfId="3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CE0BD3-9B85-4219-B56D-693F45370916}" name="purchasing_power_parity_ppp1" displayName="purchasing_power_parity_ppp1" ref="A2:D188" tableType="queryTable" totalsRowShown="0" headerRowDxfId="32" dataDxfId="31">
  <autoFilter ref="A2:D188" xr:uid="{30CE0BD3-9B85-4219-B56D-693F45370916}"/>
  <tableColumns count="4">
    <tableColumn id="1" xr3:uid="{BA701BA7-C4E7-4A20-AB4D-B9F995099FF1}" uniqueName="1" name="Country" queryTableFieldId="1" dataDxfId="30"/>
    <tableColumn id="2" xr3:uid="{501FE6C7-6702-4B69-BA72-211E4BB70E75}" uniqueName="2" name="Indicator Name" queryTableFieldId="2" dataDxfId="29"/>
    <tableColumn id="3" xr3:uid="{819E567F-8E5C-477E-8C3F-79B9CBBBFF92}" uniqueName="3" name="Year" queryTableFieldId="3" dataDxfId="28"/>
    <tableColumn id="4" xr3:uid="{DE297F64-79D1-4001-9ED4-748EC0DE8F69}" uniqueName="4" name="PPP" queryTableFieldId="4" dataDxfId="2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D3CEAB8-6734-4191-A92E-CCC011142F3F}" name="Region" displayName="Region" ref="A1:A6" totalsRowShown="0" headerRowDxfId="23">
  <autoFilter ref="A1:A6" xr:uid="{DD3CEAB8-6734-4191-A92E-CCC011142F3F}"/>
  <tableColumns count="1">
    <tableColumn id="1" xr3:uid="{9897E9FE-F30E-448B-8157-9DC804DB17F9}" name="Region of Residenc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83F57F-669D-494E-9B27-253F3C3E582E}" name="Cost" displayName="Cost" ref="A2:J7" totalsRowShown="0" headerRowDxfId="22">
  <autoFilter ref="A2:J7" xr:uid="{7083F57F-669D-494E-9B27-253F3C3E582E}"/>
  <tableColumns count="10">
    <tableColumn id="1" xr3:uid="{58129FEE-33E0-4A4B-ADF6-4C4690B30CD2}" name="Region of Residence" dataDxfId="21"/>
    <tableColumn id="2" xr3:uid="{53D64904-81D0-4159-8525-A1242262C6DE}" name="Housing Price to Income Ratio" dataDxfId="20"/>
    <tableColumn id="3" xr3:uid="{F88F7662-6F40-4348-9F56-387531E909CC}" name="Food" dataDxfId="19"/>
    <tableColumn id="4" xr3:uid="{C452A632-9F24-4077-A11A-A6EE43995D99}" name="Transportation (One way bus fare)" dataDxfId="18"/>
    <tableColumn id="5" xr3:uid="{0A3F20FB-F528-4877-B419-9E3ADCD085F2}" name="Healthcare" dataDxfId="17"/>
    <tableColumn id="7" xr3:uid="{D0DAEFEC-156D-4D49-8655-13788C65F25C}" name="Education" dataDxfId="16"/>
    <tableColumn id="9" xr3:uid="{316263B8-8B54-483D-BA31-EF87256C51A8}" name="Inflation Rates" dataDxfId="15"/>
    <tableColumn id="10" xr3:uid="{D98518F5-F9DD-4078-AC1C-1CC975C668C0}" name="Currency Purchasing Power" dataDxfId="14"/>
    <tableColumn id="11" xr3:uid="{CE28AC64-8970-42F1-A4AA-5CF53DB1520E}" name="Average Personal Income Tax Rates" dataDxfId="13"/>
    <tableColumn id="12" xr3:uid="{28760CCD-9BB4-4B5F-80CA-25702A7EFDA3}" name="Cost of a Vacation (A week)"/>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F626BC8-717F-4FC8-93A8-6D12653D3932}" name="QualityofLife" displayName="QualityofLife" ref="A2:J7" totalsRowShown="0" headerRowDxfId="12" dataDxfId="11">
  <autoFilter ref="A2:J7" xr:uid="{4F626BC8-717F-4FC8-93A8-6D12653D3932}"/>
  <tableColumns count="10">
    <tableColumn id="1" xr3:uid="{08692342-04D6-4979-AE21-1EEC6705D8A6}" name="Region of Residence"/>
    <tableColumn id="2" xr3:uid="{398A81BB-95FA-43EC-A1BE-02C93BFAD03E}" name="Life Expectancy" dataDxfId="10"/>
    <tableColumn id="3" xr3:uid="{F51ACF64-D34E-4CA6-B29F-E88580022D4D}" name="Education Index (Literacy or school enrollment)" dataDxfId="9"/>
    <tableColumn id="4" xr3:uid="{018EAC60-9C6C-435F-A291-E69123E8ECF7}" name="GDP per capita" dataDxfId="8"/>
    <tableColumn id="5" xr3:uid="{84439BDD-FE0B-43DB-BD7C-DFF9DA06093A}" name="Safety Rate" dataDxfId="7"/>
    <tableColumn id="6" xr3:uid="{24CE9D06-2CF2-403A-8D34-E70E858653B0}" name="Pollution Index" dataDxfId="6"/>
    <tableColumn id="7" xr3:uid="{1DB11B52-E899-41F6-B50D-6F9AFF910566}" name="Climate Index" dataDxfId="5"/>
    <tableColumn id="8" xr3:uid="{E7E3D8A7-2F82-4825-ACBA-B9E42CB22359}" name="Property price to income ratio" dataDxfId="4"/>
    <tableColumn id="9" xr3:uid="{C4C7999B-6707-4E73-9B85-E5AA1C6E0819}" name="Traffic commute time index" dataDxfId="3"/>
    <tableColumn id="10" xr3:uid="{FD9CFC7D-0DE5-4952-A3D6-DBE99E4559E1}" name="Personal Freedom and Human Rights"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614AF0B-B8C9-472E-B50A-5806C35CB39F}" name="BusinessEnvironment" displayName="BusinessEnvironment" ref="A2:I7" totalsRowShown="0">
  <autoFilter ref="A2:I7" xr:uid="{7614AF0B-B8C9-472E-B50A-5806C35CB39F}"/>
  <tableColumns count="9">
    <tableColumn id="1" xr3:uid="{B1978EA4-D1F1-402B-A30E-096D0FB83B00}" name="Region of Residence"/>
    <tableColumn id="2" xr3:uid="{DAB8D53C-2E0F-4A5F-8F38-354B1C7DCA41}" name="Ease of doing business Index"/>
    <tableColumn id="3" xr3:uid="{6B64FD16-D1A1-420F-8D21-3A947F0A40AA}" name="Corporate Tax rates"/>
    <tableColumn id="4" xr3:uid="{500AE7CD-5009-44B8-8908-28FED95E183B}" name="Innovation Ranking"/>
    <tableColumn id="5" xr3:uid="{7BA1CAE9-B5CE-4EF4-A6DA-558E4D72D14C}" name="Corruption Index"/>
    <tableColumn id="6" xr3:uid="{83B6AC9D-AAD9-4E25-8659-74B493F88C64}" name="Intellectual Property Protection Index"/>
    <tableColumn id="7" xr3:uid="{DE1982EF-23A3-4904-A685-863712B9EDA9}" name="Stock Market Cap (Million)" dataDxfId="1" dataCellStyle="Currency"/>
    <tableColumn id="8" xr3:uid="{8DF3563E-9E18-4274-ACEF-CD4409623CBE}" name="Median Income" dataDxfId="0"/>
    <tableColumn id="9" xr3:uid="{4BE1DF50-C0DF-4DBF-AAEE-E007DD05828A}" name="Transportation Index"/>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6F7765-271E-4268-9A30-582DA2364BDE}" name="Internet" displayName="Internet" ref="A2:F7" totalsRowShown="0">
  <autoFilter ref="A2:F7" xr:uid="{8F6F7765-271E-4268-9A30-582DA2364BDE}"/>
  <tableColumns count="6">
    <tableColumn id="1" xr3:uid="{E76B10CE-08A6-4633-BB51-6A086B619A9F}" name="Region of Residence"/>
    <tableColumn id="2" xr3:uid="{9ED14A0F-06DB-4AB1-BAD9-DDFD684EB4AF}" name="Internet Speed (Mbps)"/>
    <tableColumn id="3" xr3:uid="{346FEBF2-DA7A-4FC6-A636-B73D62DE0092}" name="Cost per Mbps"/>
    <tableColumn id="4" xr3:uid="{31E97A32-6CA1-4677-BCA1-C4B6D30E5F69}" name="Internet Penetration Rate" dataCellStyle="Percent"/>
    <tableColumn id="8" xr3:uid="{2CE08FD4-9F3F-4BB2-B263-30DD3CFA2AEE}" name="Internet Censorship Index"/>
    <tableColumn id="10" xr3:uid="{2B05BBEA-9D64-45CB-877C-073E625C1B37}" name="Cybersecurity Index"/>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01A0D9B-3E28-42FD-A266-A2A49E0C567E}" name="Healthcare" displayName="Healthcare" ref="A2:H7" totalsRowShown="0">
  <autoFilter ref="A2:H7" xr:uid="{A01A0D9B-3E28-42FD-A266-A2A49E0C567E}"/>
  <tableColumns count="8">
    <tableColumn id="1" xr3:uid="{06997AF6-514B-475E-A4CA-EB9C90B316F7}" name="Region of Residence"/>
    <tableColumn id="2" xr3:uid="{F0A87443-3AF8-4908-A6B1-7F7CEA0E292E}" name="Physician Density (per 1000 people)"/>
    <tableColumn id="3" xr3:uid="{53BE26EC-990C-43EA-A36F-CF03ED80AC3E}" name="Hospital Bed Density"/>
    <tableColumn id="4" xr3:uid="{4D9DE41F-ED7C-4758-89BC-FF354C01D337}" name="Health Insurance Coverage" dataCellStyle="Percent"/>
    <tableColumn id="5" xr3:uid="{2DD00C75-CFC7-4BE8-AFC6-89FDDFE4D232}" name="Doctors (per 10000)"/>
    <tableColumn id="6" xr3:uid="{C78F7E75-9DF4-4595-A36D-9B445FD84C75}" name="Health Care Index "/>
    <tableColumn id="8" xr3:uid="{61E0B5E8-7795-4C23-8132-E4940ADCCF14}" name="Pollution Index"/>
    <tableColumn id="9" xr3:uid="{C39DB569-1B3B-4DC7-8DB0-A5AA911F2A4A}" name="Healthcare Access and Quality"/>
  </tableColumns>
  <tableStyleInfo name="TableStyleMedium2" showFirstColumn="0" showLastColumn="0" showRowStripes="1" showColumnStripes="0"/>
</table>
</file>

<file path=xl/theme/theme1.xml><?xml version="1.0" encoding="utf-8"?>
<a:theme xmlns:a="http://schemas.openxmlformats.org/drawingml/2006/main" name="Facet">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hyperlink" Target="https://en.climate-data.org/asia/kazakhstan/astana/astana-491/t/december-12/" TargetMode="External"/><Relationship Id="rId2" Type="http://schemas.openxmlformats.org/officeDocument/2006/relationships/hyperlink" Target="https://en.climate-data.org/asia/vietnam/hanoi/hanoi-1193/t/december-12/" TargetMode="External"/><Relationship Id="rId1" Type="http://schemas.openxmlformats.org/officeDocument/2006/relationships/hyperlink" Target="https://en.climate-data.org/north-america/united-states-of-america/district-of-columbia/washington-1693/t/december-12/" TargetMode="External"/><Relationship Id="rId6" Type="http://schemas.openxmlformats.org/officeDocument/2006/relationships/table" Target="../tables/table1.xml"/><Relationship Id="rId5" Type="http://schemas.openxmlformats.org/officeDocument/2006/relationships/hyperlink" Target="https://en.climate-data.org/asia/pakistan/islamabad-capital-territory/islamabad-32/t/december-12/" TargetMode="External"/><Relationship Id="rId4" Type="http://schemas.openxmlformats.org/officeDocument/2006/relationships/hyperlink" Target="https://en.climate-data.org/asia/china/hong-kong/hong-kong-977986/t/december-12/" TargetMode="Externa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public.opendatasoft.com/explore/dataset/purchasing-power-parity-ppp/table/?disjunctive.country" TargetMode="Externa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numbeo.com/cost-of-living/country_price_rankings?itemId=18" TargetMode="External"/><Relationship Id="rId3" Type="http://schemas.openxmlformats.org/officeDocument/2006/relationships/hyperlink" Target="https://tradingeconomics.com/country-list/personal-income-tax-rate" TargetMode="External"/><Relationship Id="rId7" Type="http://schemas.openxmlformats.org/officeDocument/2006/relationships/hyperlink" Target="https://www.theglobaleconomy.com/rankings/food_price_index_wb/" TargetMode="External"/><Relationship Id="rId2" Type="http://schemas.openxmlformats.org/officeDocument/2006/relationships/hyperlink" Target="https://tradingeconomics.com/country-list/personal-income-tax-rate" TargetMode="External"/><Relationship Id="rId1" Type="http://schemas.openxmlformats.org/officeDocument/2006/relationships/hyperlink" Target="https://medium.com/@daretofinance/average-vacation-costs-to-different-places-around-the-world-601c23f8d7e5" TargetMode="External"/><Relationship Id="rId6" Type="http://schemas.openxmlformats.org/officeDocument/2006/relationships/hyperlink" Target="https://www.theglobaleconomy.com/rankings/healthcare_prices_wb/" TargetMode="External"/><Relationship Id="rId5" Type="http://schemas.openxmlformats.org/officeDocument/2006/relationships/hyperlink" Target="https://www.theglobaleconomy.com/rankings/education_prices_wb/" TargetMode="External"/><Relationship Id="rId10" Type="http://schemas.openxmlformats.org/officeDocument/2006/relationships/table" Target="../tables/table4.xml"/><Relationship Id="rId4" Type="http://schemas.openxmlformats.org/officeDocument/2006/relationships/hyperlink" Target="https://tradingeconomics.com/country-list/inflation-rate" TargetMode="External"/><Relationship Id="rId9" Type="http://schemas.openxmlformats.org/officeDocument/2006/relationships/hyperlink" Target="https://www.numbeo.com/property-investment/rankings_by_country.jsp"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numbeo.com/quality-of-life/rankings_by_country.jsp" TargetMode="External"/><Relationship Id="rId3" Type="http://schemas.openxmlformats.org/officeDocument/2006/relationships/hyperlink" Target="https://wisevoter.com/country-rankings/literacy-rate-by-country/" TargetMode="External"/><Relationship Id="rId7" Type="http://schemas.openxmlformats.org/officeDocument/2006/relationships/hyperlink" Target="https://www.numbeo.com/quality-of-life/rankings_by_country.jsp" TargetMode="External"/><Relationship Id="rId2" Type="http://schemas.openxmlformats.org/officeDocument/2006/relationships/hyperlink" Target="https://www.imf.org/external/datamapper/NGDPDPC@WEO/OEMDC/ADVEC/WEOWORLD" TargetMode="External"/><Relationship Id="rId1" Type="http://schemas.openxmlformats.org/officeDocument/2006/relationships/hyperlink" Target="https://worldpopulationreview.com/country-rankings/freedom-index-by-country" TargetMode="External"/><Relationship Id="rId6" Type="http://schemas.openxmlformats.org/officeDocument/2006/relationships/hyperlink" Target="https://www.numbeo.com/quality-of-life/rankings_by_country.jsp" TargetMode="External"/><Relationship Id="rId5" Type="http://schemas.openxmlformats.org/officeDocument/2006/relationships/hyperlink" Target="https://www.numbeo.com/quality-of-life/rankings_by_country.jsp" TargetMode="External"/><Relationship Id="rId10" Type="http://schemas.openxmlformats.org/officeDocument/2006/relationships/table" Target="../tables/table5.xml"/><Relationship Id="rId4" Type="http://schemas.openxmlformats.org/officeDocument/2006/relationships/hyperlink" Target="https://www.worldometers.info/demographics/life-expectancy/" TargetMode="External"/><Relationship Id="rId9" Type="http://schemas.openxmlformats.org/officeDocument/2006/relationships/hyperlink" Target="https://www.numbeo.com/quality-of-life/rankings_by_country.jsp"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data.worldbank.org/indicator/LP.LPI.INFR.XQ" TargetMode="External"/><Relationship Id="rId3" Type="http://schemas.openxmlformats.org/officeDocument/2006/relationships/hyperlink" Target="https://taxfoundation.org/data/all/global/corporate-tax-rates-by-country-2022/" TargetMode="External"/><Relationship Id="rId7" Type="http://schemas.openxmlformats.org/officeDocument/2006/relationships/hyperlink" Target="https://worldpopulationreview.com/country-rankings/median-income-by-country" TargetMode="External"/><Relationship Id="rId2" Type="http://schemas.openxmlformats.org/officeDocument/2006/relationships/hyperlink" Target="https://www.worldeconomics.com/Indicator-Data/ESG/Governance/Ease-of-Doing-Business/" TargetMode="External"/><Relationship Id="rId1" Type="http://schemas.openxmlformats.org/officeDocument/2006/relationships/hyperlink" Target="https://www.internationalpropertyrightsindex.org/" TargetMode="External"/><Relationship Id="rId6" Type="http://schemas.openxmlformats.org/officeDocument/2006/relationships/hyperlink" Target="https://en.wikipedia.org/wiki/List_of_countries_by_stock_market_capitalization" TargetMode="External"/><Relationship Id="rId5" Type="http://schemas.openxmlformats.org/officeDocument/2006/relationships/hyperlink" Target="https://en.wikipedia.org/wiki/Corruption_Perceptions_Index" TargetMode="External"/><Relationship Id="rId4" Type="http://schemas.openxmlformats.org/officeDocument/2006/relationships/hyperlink" Target="https://www.wipo.int/edocs/pubdocs/en/wipo-pub-2000-2023-section1-en-gii-2023-results-global-innovation-index-2023.pdf" TargetMode="External"/><Relationship Id="rId9"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3" Type="http://schemas.openxmlformats.org/officeDocument/2006/relationships/hyperlink" Target="https://worldpopulationreview.com/country-rankings/internet-users-by-country" TargetMode="External"/><Relationship Id="rId2" Type="http://schemas.openxmlformats.org/officeDocument/2006/relationships/hyperlink" Target="https://worldpopulationreview.com/country-rankings/internet-speeds-by-country" TargetMode="External"/><Relationship Id="rId1" Type="http://schemas.openxmlformats.org/officeDocument/2006/relationships/hyperlink" Target="https://worldpopulationreview.com/country-rankings/internet-cost-by-country" TargetMode="External"/><Relationship Id="rId5" Type="http://schemas.openxmlformats.org/officeDocument/2006/relationships/table" Target="../tables/table7.xml"/><Relationship Id="rId4" Type="http://schemas.openxmlformats.org/officeDocument/2006/relationships/hyperlink" Target="https://freedomhouse.org/countries/freedom-net/scores"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https://apps.who.int/gho/data/view.main.UHCHRHv" TargetMode="External"/><Relationship Id="rId7" Type="http://schemas.openxmlformats.org/officeDocument/2006/relationships/table" Target="../tables/table8.xml"/><Relationship Id="rId2" Type="http://schemas.openxmlformats.org/officeDocument/2006/relationships/hyperlink" Target="https://apps.who.int/gho/data/view.main.HS07v" TargetMode="External"/><Relationship Id="rId1" Type="http://schemas.openxmlformats.org/officeDocument/2006/relationships/hyperlink" Target="https://data.worldbank.org/indicator/SH.MED.PHYS.ZS" TargetMode="External"/><Relationship Id="rId6" Type="http://schemas.openxmlformats.org/officeDocument/2006/relationships/hyperlink" Target="https://www.numbeo.com/pollution/rankings_by_country.jsp" TargetMode="External"/><Relationship Id="rId5" Type="http://schemas.openxmlformats.org/officeDocument/2006/relationships/hyperlink" Target="https://ourworldindata.org/grapher/healthcare-access-and-quality-index" TargetMode="External"/><Relationship Id="rId4" Type="http://schemas.openxmlformats.org/officeDocument/2006/relationships/hyperlink" Target="https://www.numbeo.com/health-care/rankings_by_country.js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F12EC-39A7-4FF1-BB99-2DF5CA01C5B9}">
  <sheetPr codeName="Sheet1"/>
  <dimension ref="A1:F6"/>
  <sheetViews>
    <sheetView workbookViewId="0">
      <selection activeCell="B3" sqref="B3:E3"/>
    </sheetView>
  </sheetViews>
  <sheetFormatPr baseColWidth="10" defaultColWidth="8.83203125" defaultRowHeight="14" x14ac:dyDescent="0.15"/>
  <cols>
    <col min="1" max="5" width="13.6640625" customWidth="1"/>
  </cols>
  <sheetData>
    <row r="1" spans="1:6" ht="35" x14ac:dyDescent="0.5">
      <c r="A1" s="44" t="s">
        <v>0</v>
      </c>
      <c r="B1" s="44"/>
      <c r="C1" s="44"/>
      <c r="D1" s="44"/>
      <c r="E1" s="44"/>
    </row>
    <row r="2" spans="1:6" ht="15" x14ac:dyDescent="0.15">
      <c r="A2" s="17" t="s">
        <v>1</v>
      </c>
      <c r="B2" s="20" t="s">
        <v>2</v>
      </c>
      <c r="C2" s="18" t="s">
        <v>3</v>
      </c>
      <c r="D2" s="18" t="s">
        <v>4</v>
      </c>
      <c r="E2" s="18" t="s">
        <v>5</v>
      </c>
    </row>
    <row r="3" spans="1:6" ht="15" x14ac:dyDescent="0.15">
      <c r="A3" s="17" t="s">
        <v>6</v>
      </c>
      <c r="B3" s="53">
        <f ca="1">TODAY()</f>
        <v>45808</v>
      </c>
      <c r="C3" s="54"/>
      <c r="D3" s="54"/>
      <c r="E3" s="55"/>
    </row>
    <row r="4" spans="1:6" ht="14.5" customHeight="1" x14ac:dyDescent="0.15">
      <c r="A4" s="45" t="s">
        <v>7</v>
      </c>
      <c r="B4" s="47" t="s">
        <v>8</v>
      </c>
      <c r="C4" s="48"/>
      <c r="D4" s="48"/>
      <c r="E4" s="49"/>
      <c r="F4" s="19"/>
    </row>
    <row r="5" spans="1:6" x14ac:dyDescent="0.15">
      <c r="A5" s="46"/>
      <c r="B5" s="50"/>
      <c r="C5" s="51"/>
      <c r="D5" s="51"/>
      <c r="E5" s="52"/>
      <c r="F5" s="19"/>
    </row>
    <row r="6" spans="1:6" x14ac:dyDescent="0.15">
      <c r="B6" s="3"/>
      <c r="C6" s="3"/>
      <c r="D6" s="3"/>
    </row>
  </sheetData>
  <sheetProtection sheet="1" objects="1" scenarios="1"/>
  <mergeCells count="4">
    <mergeCell ref="A1:E1"/>
    <mergeCell ref="A4:A5"/>
    <mergeCell ref="B4:E5"/>
    <mergeCell ref="B3:E3"/>
  </mergeCells>
  <dataValidations count="1">
    <dataValidation allowBlank="1" error="pavI8MeUFtEyxX2I4tky7af9f69a-0a42-45a4-81cf-cfad1edfa45e" sqref="A1 A2:B4" xr:uid="{32B55A32-54CA-40A4-94D2-CBB73DC2BBAD}"/>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8609B-A0D5-445D-8324-1C7F156FEE30}">
  <sheetPr codeName="Sheet3">
    <pageSetUpPr fitToPage="1"/>
  </sheetPr>
  <dimension ref="A1:AD32"/>
  <sheetViews>
    <sheetView zoomScale="70" zoomScaleNormal="70" workbookViewId="0">
      <selection activeCell="C25" sqref="C25:C27"/>
    </sheetView>
  </sheetViews>
  <sheetFormatPr baseColWidth="10" defaultColWidth="8.83203125" defaultRowHeight="16.5" customHeight="1" x14ac:dyDescent="0.15"/>
  <cols>
    <col min="1" max="1" width="2.83203125" style="21" customWidth="1"/>
    <col min="2" max="2" width="25.5" style="21" customWidth="1"/>
    <col min="3" max="3" width="11" style="21" customWidth="1"/>
    <col min="4" max="6" width="8.83203125" style="21"/>
    <col min="7" max="9" width="14.6640625" style="21" customWidth="1"/>
    <col min="10" max="12" width="10" style="21" customWidth="1"/>
    <col min="13" max="16" width="10.6640625" style="21" customWidth="1"/>
    <col min="17" max="24" width="9.5" style="21" customWidth="1"/>
    <col min="25" max="16384" width="8.83203125" style="21"/>
  </cols>
  <sheetData>
    <row r="1" spans="1:30" ht="30.5" customHeight="1" x14ac:dyDescent="0.15">
      <c r="A1" s="62" t="s">
        <v>9</v>
      </c>
      <c r="B1" s="62"/>
      <c r="C1" s="62"/>
      <c r="D1" s="62"/>
      <c r="E1" s="62"/>
      <c r="F1" s="62"/>
      <c r="G1" s="62"/>
      <c r="H1" s="62"/>
      <c r="I1" s="62"/>
      <c r="J1" s="62"/>
      <c r="K1" s="62"/>
    </row>
    <row r="2" spans="1:30" ht="14" x14ac:dyDescent="0.15">
      <c r="A2" s="62"/>
      <c r="B2" s="62"/>
      <c r="C2" s="62"/>
      <c r="D2" s="62"/>
      <c r="E2" s="62"/>
      <c r="F2" s="62"/>
      <c r="G2" s="62"/>
      <c r="H2" s="62"/>
      <c r="I2" s="62"/>
      <c r="J2" s="62"/>
      <c r="K2" s="62"/>
    </row>
    <row r="6" spans="1:30" ht="16" x14ac:dyDescent="0.2">
      <c r="O6" s="56"/>
      <c r="P6" s="56"/>
      <c r="Q6" s="56"/>
      <c r="R6" s="56"/>
      <c r="S6" s="56"/>
      <c r="T6" s="56"/>
      <c r="U6" s="56"/>
    </row>
    <row r="7" spans="1:30" ht="24" customHeight="1" x14ac:dyDescent="0.15">
      <c r="D7" s="63" t="s">
        <v>10</v>
      </c>
      <c r="E7" s="63"/>
      <c r="F7" s="63"/>
      <c r="G7" s="63"/>
      <c r="H7" s="63"/>
      <c r="I7" s="63"/>
      <c r="J7" s="57" t="s">
        <v>11</v>
      </c>
      <c r="K7" s="58"/>
      <c r="L7" s="58"/>
      <c r="M7" s="58"/>
      <c r="N7" s="58"/>
      <c r="O7" s="58"/>
      <c r="P7" s="58"/>
      <c r="Q7" s="58" t="s">
        <v>12</v>
      </c>
      <c r="R7" s="58"/>
      <c r="S7" s="58"/>
      <c r="T7" s="58"/>
      <c r="U7" s="58"/>
      <c r="V7" s="58"/>
      <c r="W7" s="58"/>
      <c r="X7" s="58"/>
    </row>
    <row r="8" spans="1:30" ht="18" customHeight="1" x14ac:dyDescent="0.15"/>
    <row r="9" spans="1:30" ht="18" customHeight="1" x14ac:dyDescent="0.15"/>
    <row r="10" spans="1:30" ht="18" customHeight="1" x14ac:dyDescent="0.2">
      <c r="W10" s="56"/>
      <c r="X10" s="56"/>
      <c r="Y10" s="56"/>
      <c r="Z10" s="56"/>
      <c r="AA10" s="56"/>
      <c r="AB10" s="56"/>
      <c r="AC10" s="56"/>
      <c r="AD10" s="56"/>
    </row>
    <row r="11" spans="1:30" ht="18" customHeight="1" x14ac:dyDescent="0.15"/>
    <row r="12" spans="1:30" ht="18" customHeight="1" x14ac:dyDescent="0.15"/>
    <row r="13" spans="1:30" ht="18" customHeight="1" x14ac:dyDescent="0.15"/>
    <row r="14" spans="1:30" ht="18" customHeight="1" x14ac:dyDescent="0.15"/>
    <row r="15" spans="1:30" ht="18" customHeight="1" x14ac:dyDescent="0.15"/>
    <row r="16" spans="1:30" ht="18" customHeight="1" x14ac:dyDescent="0.15"/>
    <row r="17" spans="1:24" ht="18" customHeight="1" x14ac:dyDescent="0.15"/>
    <row r="18" spans="1:24" ht="18" customHeight="1" x14ac:dyDescent="0.15"/>
    <row r="19" spans="1:24" ht="18" customHeight="1" x14ac:dyDescent="0.15"/>
    <row r="20" spans="1:24" s="34" customFormat="1" ht="24" customHeight="1" x14ac:dyDescent="0.25">
      <c r="D20" s="58" t="s">
        <v>13</v>
      </c>
      <c r="E20" s="58"/>
      <c r="F20" s="58"/>
      <c r="G20" s="58"/>
      <c r="H20" s="58"/>
      <c r="I20" s="58"/>
      <c r="J20" s="58" t="s">
        <v>14</v>
      </c>
      <c r="K20" s="58"/>
      <c r="L20" s="58"/>
      <c r="M20" s="58"/>
      <c r="N20" s="58"/>
      <c r="O20" s="58"/>
      <c r="P20" s="58"/>
      <c r="Q20" s="58" t="s">
        <v>15</v>
      </c>
      <c r="R20" s="58"/>
      <c r="S20" s="58"/>
      <c r="T20" s="58"/>
      <c r="U20" s="58"/>
      <c r="V20" s="58"/>
      <c r="W20" s="58"/>
      <c r="X20" s="58"/>
    </row>
    <row r="21" spans="1:24" ht="27" customHeight="1" x14ac:dyDescent="0.15"/>
    <row r="22" spans="1:24" ht="19.25" customHeight="1" x14ac:dyDescent="0.25">
      <c r="A22" s="40"/>
      <c r="B22" s="41" t="s">
        <v>16</v>
      </c>
    </row>
    <row r="23" spans="1:24" ht="42.75" customHeight="1" x14ac:dyDescent="0.15">
      <c r="B23" s="42" t="s">
        <v>17</v>
      </c>
      <c r="C23" s="43"/>
    </row>
    <row r="24" spans="1:24" ht="34.5" customHeight="1" x14ac:dyDescent="0.2">
      <c r="B24" s="42" t="s">
        <v>18</v>
      </c>
      <c r="C24" s="43"/>
      <c r="I24" s="56"/>
      <c r="J24" s="56"/>
      <c r="K24" s="56"/>
      <c r="L24" s="56"/>
      <c r="M24" s="56"/>
      <c r="N24" s="56"/>
    </row>
    <row r="25" spans="1:24" ht="19.25" customHeight="1" x14ac:dyDescent="0.2">
      <c r="B25" s="59" t="s">
        <v>19</v>
      </c>
      <c r="C25" s="61"/>
      <c r="P25" s="56"/>
      <c r="Q25" s="56"/>
      <c r="R25" s="56"/>
      <c r="S25" s="56"/>
      <c r="T25" s="56"/>
      <c r="U25" s="56"/>
      <c r="V25" s="56"/>
    </row>
    <row r="26" spans="1:24" ht="19.25" customHeight="1" x14ac:dyDescent="0.15">
      <c r="B26" s="59"/>
      <c r="C26" s="61"/>
    </row>
    <row r="27" spans="1:24" ht="33.75" customHeight="1" x14ac:dyDescent="0.15">
      <c r="B27" s="59"/>
      <c r="C27" s="61"/>
    </row>
    <row r="28" spans="1:24" ht="44.25" customHeight="1" x14ac:dyDescent="0.15">
      <c r="B28" s="42" t="s">
        <v>20</v>
      </c>
      <c r="C28" s="43"/>
    </row>
    <row r="29" spans="1:24" ht="19.25" customHeight="1" x14ac:dyDescent="0.15">
      <c r="B29" s="59" t="s">
        <v>21</v>
      </c>
      <c r="C29" s="60"/>
    </row>
    <row r="30" spans="1:24" ht="19.25" customHeight="1" x14ac:dyDescent="0.15">
      <c r="B30" s="59"/>
      <c r="C30" s="60"/>
    </row>
    <row r="31" spans="1:24" ht="17.25" customHeight="1" x14ac:dyDescent="0.15">
      <c r="B31" s="59"/>
      <c r="C31" s="60"/>
    </row>
    <row r="32" spans="1:24" ht="19.25" customHeight="1" x14ac:dyDescent="0.15"/>
  </sheetData>
  <mergeCells count="15">
    <mergeCell ref="B29:B31"/>
    <mergeCell ref="C29:C31"/>
    <mergeCell ref="C25:C27"/>
    <mergeCell ref="A1:K2"/>
    <mergeCell ref="D7:I7"/>
    <mergeCell ref="B25:B27"/>
    <mergeCell ref="O6:U6"/>
    <mergeCell ref="W10:AD10"/>
    <mergeCell ref="P25:V25"/>
    <mergeCell ref="I24:N24"/>
    <mergeCell ref="J7:P7"/>
    <mergeCell ref="Q7:X7"/>
    <mergeCell ref="D20:I20"/>
    <mergeCell ref="J20:P20"/>
    <mergeCell ref="Q20:X20"/>
  </mergeCells>
  <dataValidations count="3">
    <dataValidation type="list" allowBlank="1" showInputMessage="1" showErrorMessage="1" promptTitle="Selection" prompt="Choose a country" sqref="C28 C23:C24" xr:uid="{738229A7-46F5-4645-9E9D-7F85365BC7FA}">
      <formula1>"Hong Kong,Kazakhstan,Pakistan,USA,Vietnam"</formula1>
    </dataValidation>
    <dataValidation type="list" allowBlank="1" showInputMessage="1" showErrorMessage="1" promptTitle="Selection" prompt="Choose your answer" sqref="C25:C27" xr:uid="{23FC01B8-9974-47F7-888A-00D78ACF256D}">
      <formula1>"Low cost of living, High cost of living, Doesn't matter"</formula1>
    </dataValidation>
    <dataValidation type="list" allowBlank="1" showInputMessage="1" showErrorMessage="1" promptTitle="Selection" prompt="Choose your answer" sqref="C29:C31" xr:uid="{E7173979-2E94-4564-BB6A-6931CC68EFB8}">
      <formula1>"Yes, No, Maybe"</formula1>
    </dataValidation>
  </dataValidations>
  <pageMargins left="0.25" right="0.25"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st1">
                <anchor moveWithCells="1" sizeWithCells="1">
                  <from>
                    <xdr:col>1</xdr:col>
                    <xdr:colOff>0</xdr:colOff>
                    <xdr:row>7</xdr:row>
                    <xdr:rowOff>0</xdr:rowOff>
                  </from>
                  <to>
                    <xdr:col>2</xdr:col>
                    <xdr:colOff>12700</xdr:colOff>
                    <xdr:row>9</xdr:row>
                    <xdr:rowOff>25400</xdr:rowOff>
                  </to>
                </anchor>
              </controlPr>
            </control>
          </mc:Choice>
        </mc:AlternateContent>
        <mc:AlternateContent xmlns:mc="http://schemas.openxmlformats.org/markup-compatibility/2006">
          <mc:Choice Requires="x14">
            <control shapeId="2050" r:id="rId5" name="Button 2">
              <controlPr defaultSize="0" print="0" autoFill="0" autoPict="0" macro="[0]!Quality1">
                <anchor moveWithCells="1">
                  <from>
                    <xdr:col>1</xdr:col>
                    <xdr:colOff>0</xdr:colOff>
                    <xdr:row>9</xdr:row>
                    <xdr:rowOff>177800</xdr:rowOff>
                  </from>
                  <to>
                    <xdr:col>2</xdr:col>
                    <xdr:colOff>0</xdr:colOff>
                    <xdr:row>11</xdr:row>
                    <xdr:rowOff>203200</xdr:rowOff>
                  </to>
                </anchor>
              </controlPr>
            </control>
          </mc:Choice>
        </mc:AlternateContent>
        <mc:AlternateContent xmlns:mc="http://schemas.openxmlformats.org/markup-compatibility/2006">
          <mc:Choice Requires="x14">
            <control shapeId="2051" r:id="rId6" name="Button 3">
              <controlPr defaultSize="0" print="0" autoFill="0" autoPict="0" macro="[0]!Business1">
                <anchor moveWithCells="1" sizeWithCells="1">
                  <from>
                    <xdr:col>1</xdr:col>
                    <xdr:colOff>0</xdr:colOff>
                    <xdr:row>12</xdr:row>
                    <xdr:rowOff>152400</xdr:rowOff>
                  </from>
                  <to>
                    <xdr:col>2</xdr:col>
                    <xdr:colOff>0</xdr:colOff>
                    <xdr:row>15</xdr:row>
                    <xdr:rowOff>0</xdr:rowOff>
                  </to>
                </anchor>
              </controlPr>
            </control>
          </mc:Choice>
        </mc:AlternateContent>
        <mc:AlternateContent xmlns:mc="http://schemas.openxmlformats.org/markup-compatibility/2006">
          <mc:Choice Requires="x14">
            <control shapeId="2052" r:id="rId7" name="Button 4">
              <controlPr defaultSize="0" print="0" autoFill="0" autoPict="0" macro="[0]!Internet1">
                <anchor moveWithCells="1" sizeWithCells="1">
                  <from>
                    <xdr:col>1</xdr:col>
                    <xdr:colOff>0</xdr:colOff>
                    <xdr:row>15</xdr:row>
                    <xdr:rowOff>152400</xdr:rowOff>
                  </from>
                  <to>
                    <xdr:col>2</xdr:col>
                    <xdr:colOff>0</xdr:colOff>
                    <xdr:row>17</xdr:row>
                    <xdr:rowOff>203200</xdr:rowOff>
                  </to>
                </anchor>
              </controlPr>
            </control>
          </mc:Choice>
        </mc:AlternateContent>
        <mc:AlternateContent xmlns:mc="http://schemas.openxmlformats.org/markup-compatibility/2006">
          <mc:Choice Requires="x14">
            <control shapeId="2053" r:id="rId8" name="Button 5">
              <controlPr defaultSize="0" print="0" autoFill="0" autoPict="0" macro="[0]!Module2.Healthcare">
                <anchor moveWithCells="1" sizeWithCells="1">
                  <from>
                    <xdr:col>1</xdr:col>
                    <xdr:colOff>0</xdr:colOff>
                    <xdr:row>18</xdr:row>
                    <xdr:rowOff>152400</xdr:rowOff>
                  </from>
                  <to>
                    <xdr:col>2</xdr:col>
                    <xdr:colOff>0</xdr:colOff>
                    <xdr:row>20</xdr:row>
                    <xdr:rowOff>127000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EFA01-7CD5-470D-9964-E0C265A54FDE}">
  <sheetPr codeName="Sheet11"/>
  <dimension ref="A1:L34"/>
  <sheetViews>
    <sheetView zoomScaleNormal="100" workbookViewId="0">
      <selection activeCell="D5" sqref="D5"/>
    </sheetView>
  </sheetViews>
  <sheetFormatPr baseColWidth="10" defaultColWidth="8.83203125" defaultRowHeight="14" x14ac:dyDescent="0.15"/>
  <cols>
    <col min="1" max="1" width="13" bestFit="1" customWidth="1"/>
    <col min="2" max="2" width="13" customWidth="1"/>
    <col min="3" max="3" width="17.6640625" bestFit="1" customWidth="1"/>
    <col min="4" max="5" width="22" bestFit="1" customWidth="1"/>
    <col min="6" max="6" width="19.6640625" bestFit="1" customWidth="1"/>
    <col min="7" max="12" width="12.1640625" customWidth="1"/>
  </cols>
  <sheetData>
    <row r="1" spans="1:12" ht="24" thickTop="1" thickBot="1" x14ac:dyDescent="0.3">
      <c r="A1" s="64" t="s">
        <v>22</v>
      </c>
      <c r="B1" s="64"/>
      <c r="C1" s="64"/>
      <c r="D1" s="64"/>
      <c r="E1" s="64"/>
      <c r="F1" s="64"/>
      <c r="G1" s="29" t="s">
        <v>23</v>
      </c>
      <c r="H1" s="30" t="s">
        <v>24</v>
      </c>
      <c r="I1" s="30" t="s">
        <v>25</v>
      </c>
      <c r="J1" s="30" t="s">
        <v>26</v>
      </c>
      <c r="K1" s="30" t="s">
        <v>27</v>
      </c>
      <c r="L1" s="30" t="s">
        <v>28</v>
      </c>
    </row>
    <row r="2" spans="1:12" ht="15" thickTop="1" x14ac:dyDescent="0.15">
      <c r="A2" s="1" t="s">
        <v>6</v>
      </c>
      <c r="B2" s="1" t="s">
        <v>24</v>
      </c>
      <c r="C2" s="1" t="s">
        <v>29</v>
      </c>
      <c r="D2" s="1" t="s">
        <v>30</v>
      </c>
      <c r="E2" s="1" t="s">
        <v>31</v>
      </c>
      <c r="F2" s="1" t="s">
        <v>32</v>
      </c>
    </row>
    <row r="3" spans="1:12" x14ac:dyDescent="0.15">
      <c r="A3" s="28">
        <v>45262</v>
      </c>
      <c r="B3" s="31">
        <v>1.3</v>
      </c>
      <c r="C3" s="31">
        <v>14</v>
      </c>
      <c r="D3" s="31">
        <v>0.2</v>
      </c>
      <c r="E3" s="31">
        <v>0</v>
      </c>
      <c r="F3" s="31">
        <v>4.0999999999999996</v>
      </c>
    </row>
    <row r="4" spans="1:12" x14ac:dyDescent="0.15">
      <c r="A4" s="28">
        <v>45261</v>
      </c>
      <c r="B4" s="31">
        <v>2.4</v>
      </c>
      <c r="C4" s="31">
        <v>13.6</v>
      </c>
      <c r="D4" s="31">
        <v>0.1</v>
      </c>
      <c r="E4" s="31">
        <v>0.1</v>
      </c>
      <c r="F4" s="31">
        <v>4.8</v>
      </c>
    </row>
    <row r="5" spans="1:12" x14ac:dyDescent="0.15">
      <c r="A5" s="28">
        <v>45260</v>
      </c>
      <c r="B5" s="31">
        <v>2.2000000000000002</v>
      </c>
      <c r="C5" s="31">
        <v>15.1</v>
      </c>
      <c r="D5" s="31">
        <v>0</v>
      </c>
      <c r="E5" s="31">
        <v>0</v>
      </c>
      <c r="F5" s="31">
        <v>2.7</v>
      </c>
    </row>
    <row r="6" spans="1:12" x14ac:dyDescent="0.15">
      <c r="A6" s="28">
        <v>45259</v>
      </c>
      <c r="B6" s="31">
        <v>3.7</v>
      </c>
      <c r="C6" s="31">
        <v>14.6</v>
      </c>
      <c r="D6" s="31">
        <v>0</v>
      </c>
      <c r="E6" s="31">
        <v>0</v>
      </c>
      <c r="F6" s="31">
        <v>2.7</v>
      </c>
    </row>
    <row r="7" spans="1:12" x14ac:dyDescent="0.15">
      <c r="A7" s="28">
        <v>45258</v>
      </c>
      <c r="B7" s="31">
        <v>1.8</v>
      </c>
      <c r="C7" s="31">
        <v>10.5</v>
      </c>
      <c r="D7" s="31">
        <v>0</v>
      </c>
      <c r="E7" s="31">
        <v>0</v>
      </c>
      <c r="F7" s="31">
        <v>5.7</v>
      </c>
    </row>
    <row r="8" spans="1:12" x14ac:dyDescent="0.15">
      <c r="A8" s="28">
        <v>45257</v>
      </c>
      <c r="B8" s="31">
        <v>3.2</v>
      </c>
      <c r="C8" s="31">
        <v>13.3</v>
      </c>
      <c r="D8" s="31">
        <v>0</v>
      </c>
      <c r="E8" s="31">
        <v>0</v>
      </c>
      <c r="F8" s="31">
        <v>6.3</v>
      </c>
    </row>
    <row r="9" spans="1:12" x14ac:dyDescent="0.15">
      <c r="A9" s="28">
        <v>45256</v>
      </c>
      <c r="B9" s="31">
        <v>4.4000000000000004</v>
      </c>
      <c r="C9" s="31">
        <v>13.3</v>
      </c>
      <c r="D9" s="31">
        <v>0</v>
      </c>
      <c r="E9" s="31">
        <v>0</v>
      </c>
      <c r="F9" s="31">
        <v>3.3</v>
      </c>
    </row>
    <row r="10" spans="1:12" x14ac:dyDescent="0.15">
      <c r="A10" s="28">
        <v>45255</v>
      </c>
      <c r="B10" s="31">
        <v>2.2000000000000002</v>
      </c>
      <c r="C10" s="31">
        <v>15.5</v>
      </c>
      <c r="D10" s="31">
        <v>0</v>
      </c>
      <c r="E10" s="31">
        <v>0.2</v>
      </c>
      <c r="F10" s="31">
        <v>1.7</v>
      </c>
    </row>
    <row r="11" spans="1:12" x14ac:dyDescent="0.15">
      <c r="A11" s="28">
        <v>45254</v>
      </c>
      <c r="B11" s="31">
        <v>1.1000000000000001</v>
      </c>
      <c r="C11" s="31">
        <v>18.8</v>
      </c>
      <c r="D11" s="31">
        <v>0.1</v>
      </c>
      <c r="E11" s="31">
        <v>0.3</v>
      </c>
      <c r="F11" s="31">
        <v>3.4</v>
      </c>
    </row>
    <row r="12" spans="1:12" x14ac:dyDescent="0.15">
      <c r="A12" s="28">
        <v>45253</v>
      </c>
      <c r="B12" s="31">
        <v>1.8</v>
      </c>
      <c r="C12" s="31">
        <v>9</v>
      </c>
      <c r="D12" s="31">
        <v>0.9</v>
      </c>
      <c r="E12" s="31">
        <v>0.6</v>
      </c>
      <c r="F12" s="31">
        <v>2.8</v>
      </c>
    </row>
    <row r="13" spans="1:12" x14ac:dyDescent="0.15">
      <c r="A13" s="28">
        <v>45252</v>
      </c>
      <c r="B13" s="31">
        <v>1</v>
      </c>
      <c r="C13" s="31">
        <v>12.8</v>
      </c>
      <c r="D13" s="31">
        <v>0.8</v>
      </c>
      <c r="E13" s="31">
        <v>1</v>
      </c>
      <c r="F13" s="31">
        <v>2.2000000000000002</v>
      </c>
    </row>
    <row r="14" spans="1:12" x14ac:dyDescent="0.15">
      <c r="A14" s="28">
        <v>45251</v>
      </c>
      <c r="B14" s="31">
        <v>1.8</v>
      </c>
      <c r="C14" s="31">
        <v>13</v>
      </c>
      <c r="D14" s="31">
        <v>0</v>
      </c>
      <c r="E14" s="31">
        <v>0</v>
      </c>
      <c r="F14" s="31">
        <v>1.1000000000000001</v>
      </c>
    </row>
    <row r="15" spans="1:12" x14ac:dyDescent="0.15">
      <c r="A15" s="28">
        <v>45250</v>
      </c>
      <c r="B15" s="31">
        <v>2.7</v>
      </c>
      <c r="C15" s="31">
        <v>12.4</v>
      </c>
      <c r="D15" s="31">
        <v>0</v>
      </c>
      <c r="E15" s="31">
        <v>0.1</v>
      </c>
      <c r="F15" s="31">
        <v>1.1000000000000001</v>
      </c>
    </row>
    <row r="16" spans="1:12" x14ac:dyDescent="0.15">
      <c r="A16" s="28">
        <v>45249</v>
      </c>
      <c r="B16" s="31">
        <v>1</v>
      </c>
      <c r="C16" s="31">
        <v>12.6</v>
      </c>
      <c r="D16" s="31">
        <v>0.4</v>
      </c>
      <c r="E16" s="31">
        <v>0.4</v>
      </c>
      <c r="F16" s="31">
        <v>2.2999999999999998</v>
      </c>
    </row>
    <row r="17" spans="1:6" x14ac:dyDescent="0.15">
      <c r="A17" s="28">
        <v>45248</v>
      </c>
      <c r="B17" s="31">
        <v>0.9</v>
      </c>
      <c r="C17" s="31">
        <v>13.6</v>
      </c>
      <c r="D17" s="31">
        <v>0.4</v>
      </c>
      <c r="E17" s="31">
        <v>0.5</v>
      </c>
      <c r="F17" s="31">
        <v>1.6</v>
      </c>
    </row>
    <row r="18" spans="1:6" x14ac:dyDescent="0.15">
      <c r="A18" s="28">
        <v>45247</v>
      </c>
      <c r="B18" s="31">
        <v>2.4</v>
      </c>
      <c r="C18" s="31">
        <v>13.8</v>
      </c>
      <c r="D18" s="31">
        <v>0.6</v>
      </c>
      <c r="E18" s="31">
        <v>1.1000000000000001</v>
      </c>
      <c r="F18" s="31">
        <v>3.2</v>
      </c>
    </row>
    <row r="19" spans="1:6" x14ac:dyDescent="0.15">
      <c r="A19" s="28">
        <v>45246</v>
      </c>
      <c r="B19" s="31">
        <v>1.6</v>
      </c>
      <c r="C19" s="31">
        <v>13.5</v>
      </c>
      <c r="D19" s="31">
        <v>0.2</v>
      </c>
      <c r="E19" s="31">
        <v>0.2</v>
      </c>
      <c r="F19" s="31">
        <v>3.5</v>
      </c>
    </row>
    <row r="20" spans="1:6" x14ac:dyDescent="0.15">
      <c r="A20" s="28">
        <v>45245</v>
      </c>
      <c r="B20" s="31">
        <v>1.5</v>
      </c>
      <c r="C20" s="31">
        <v>14.1</v>
      </c>
      <c r="D20" s="31">
        <v>0.2</v>
      </c>
      <c r="E20" s="31">
        <v>0.4</v>
      </c>
      <c r="F20" s="31">
        <v>2.8</v>
      </c>
    </row>
    <row r="21" spans="1:6" x14ac:dyDescent="0.15">
      <c r="A21" s="28">
        <v>45244</v>
      </c>
      <c r="B21" s="31">
        <v>1.2</v>
      </c>
      <c r="C21" s="31">
        <v>13.4</v>
      </c>
      <c r="D21" s="31">
        <v>0.1</v>
      </c>
      <c r="E21" s="31">
        <v>0.6</v>
      </c>
      <c r="F21" s="31">
        <v>4.3</v>
      </c>
    </row>
    <row r="22" spans="1:6" x14ac:dyDescent="0.15">
      <c r="A22" s="28">
        <v>45243</v>
      </c>
      <c r="B22" s="31">
        <v>2.5</v>
      </c>
      <c r="C22" s="31">
        <v>10.199999999999999</v>
      </c>
      <c r="D22" s="31">
        <v>0.2</v>
      </c>
      <c r="E22" s="31">
        <v>0.3</v>
      </c>
      <c r="F22" s="31">
        <v>3.2</v>
      </c>
    </row>
    <row r="23" spans="1:6" x14ac:dyDescent="0.15">
      <c r="A23" s="28">
        <v>45242</v>
      </c>
      <c r="B23" s="31">
        <v>2.7</v>
      </c>
      <c r="C23" s="31">
        <v>10.3</v>
      </c>
      <c r="D23" s="31">
        <v>0.4</v>
      </c>
      <c r="E23" s="31">
        <v>0.3</v>
      </c>
      <c r="F23" s="31">
        <v>6.5</v>
      </c>
    </row>
    <row r="24" spans="1:6" x14ac:dyDescent="0.15">
      <c r="A24" s="28">
        <v>45241</v>
      </c>
      <c r="B24" s="31">
        <v>2</v>
      </c>
      <c r="C24" s="31">
        <v>8.6999999999999993</v>
      </c>
      <c r="D24" s="31">
        <v>0.2</v>
      </c>
      <c r="E24" s="31">
        <v>0.2</v>
      </c>
      <c r="F24" s="31">
        <v>1.9</v>
      </c>
    </row>
    <row r="25" spans="1:6" x14ac:dyDescent="0.15">
      <c r="A25" s="28">
        <v>45240</v>
      </c>
      <c r="B25" s="31">
        <v>1.7</v>
      </c>
      <c r="C25" s="31">
        <v>13.5</v>
      </c>
      <c r="D25" s="31">
        <v>0.1</v>
      </c>
      <c r="E25" s="31">
        <v>0.1</v>
      </c>
      <c r="F25" s="31">
        <v>2.6</v>
      </c>
    </row>
    <row r="26" spans="1:6" x14ac:dyDescent="0.15">
      <c r="A26" s="28">
        <v>45239</v>
      </c>
      <c r="B26" s="31">
        <v>3.6</v>
      </c>
      <c r="C26" s="31">
        <v>10.199999999999999</v>
      </c>
      <c r="D26" s="31">
        <v>0.1</v>
      </c>
      <c r="E26" s="31">
        <v>0.5</v>
      </c>
      <c r="F26" s="31">
        <v>1.3</v>
      </c>
    </row>
    <row r="27" spans="1:6" x14ac:dyDescent="0.15">
      <c r="A27" s="28">
        <v>45238</v>
      </c>
      <c r="B27" s="31">
        <v>2.6</v>
      </c>
      <c r="C27" s="31">
        <v>8.9</v>
      </c>
      <c r="D27" s="31">
        <v>0</v>
      </c>
      <c r="E27" s="31">
        <v>0.1</v>
      </c>
      <c r="F27" s="31">
        <v>3.1</v>
      </c>
    </row>
    <row r="28" spans="1:6" x14ac:dyDescent="0.15">
      <c r="A28" s="28">
        <v>45237</v>
      </c>
      <c r="B28" s="31">
        <v>2.6</v>
      </c>
      <c r="C28" s="31">
        <v>11.7</v>
      </c>
      <c r="D28" s="31">
        <v>0</v>
      </c>
      <c r="E28" s="31">
        <v>0.3</v>
      </c>
      <c r="F28" s="31">
        <v>2.7</v>
      </c>
    </row>
    <row r="29" spans="1:6" x14ac:dyDescent="0.15">
      <c r="A29" s="28">
        <v>45236</v>
      </c>
      <c r="B29" s="31">
        <v>0.6</v>
      </c>
      <c r="C29" s="31">
        <v>6.5</v>
      </c>
      <c r="D29" s="31">
        <v>0</v>
      </c>
      <c r="E29" s="31">
        <v>0.1</v>
      </c>
      <c r="F29" s="31">
        <v>2.8</v>
      </c>
    </row>
    <row r="30" spans="1:6" x14ac:dyDescent="0.15">
      <c r="A30" s="28">
        <v>45235</v>
      </c>
      <c r="B30" s="31">
        <v>1.7</v>
      </c>
      <c r="C30" s="31">
        <v>8.6999999999999993</v>
      </c>
      <c r="D30" s="31">
        <v>0</v>
      </c>
      <c r="E30" s="31">
        <v>0</v>
      </c>
      <c r="F30" s="31">
        <v>1.6</v>
      </c>
    </row>
    <row r="31" spans="1:6" x14ac:dyDescent="0.15">
      <c r="A31" s="28">
        <v>45234</v>
      </c>
      <c r="B31" s="31">
        <v>0.9</v>
      </c>
      <c r="C31" s="31">
        <v>11.2</v>
      </c>
      <c r="D31" s="31">
        <v>0</v>
      </c>
      <c r="E31" s="31">
        <v>0.2</v>
      </c>
      <c r="F31" s="31">
        <v>2.1</v>
      </c>
    </row>
    <row r="32" spans="1:6" x14ac:dyDescent="0.15">
      <c r="A32" s="28">
        <v>45233</v>
      </c>
      <c r="B32" s="31">
        <v>0.9</v>
      </c>
      <c r="C32" s="31">
        <v>8.5</v>
      </c>
      <c r="D32" s="31">
        <v>0.2</v>
      </c>
      <c r="E32" s="31">
        <v>0.2</v>
      </c>
      <c r="F32" s="31">
        <v>1.1000000000000001</v>
      </c>
    </row>
    <row r="33" spans="1:6" x14ac:dyDescent="0.15">
      <c r="A33" s="28">
        <v>45232</v>
      </c>
      <c r="B33" s="31">
        <v>0.9</v>
      </c>
      <c r="C33" s="31">
        <v>9</v>
      </c>
      <c r="D33" s="31">
        <v>0.8</v>
      </c>
      <c r="E33" s="31">
        <v>0.2</v>
      </c>
      <c r="F33" s="31">
        <v>2</v>
      </c>
    </row>
    <row r="34" spans="1:6" x14ac:dyDescent="0.15">
      <c r="A34" s="28">
        <v>45231</v>
      </c>
      <c r="B34" s="31">
        <v>0.6</v>
      </c>
      <c r="C34" s="31">
        <v>11.1</v>
      </c>
      <c r="D34" s="31">
        <v>0</v>
      </c>
      <c r="E34" s="31">
        <v>0</v>
      </c>
      <c r="F34" s="31">
        <v>4.8</v>
      </c>
    </row>
  </sheetData>
  <mergeCells count="1">
    <mergeCell ref="A1:F1"/>
  </mergeCells>
  <dataValidations count="1">
    <dataValidation type="custom" showInputMessage="1" showErrorMessage="1" errorTitle="Empty cell" error="Input can only be numeric value" sqref="B3:F34" xr:uid="{F1CCD879-08F3-4C13-AE53-90117AE6A4DE}">
      <formula1>ISBLANK(B3)</formula1>
    </dataValidation>
  </dataValidations>
  <hyperlinks>
    <hyperlink ref="L1" r:id="rId1" xr:uid="{9EC4310B-556D-40EF-B94B-C88DAA62887A}"/>
    <hyperlink ref="I1" r:id="rId2" xr:uid="{F2C8AACE-1AC7-4A19-A96C-358E1ADE40A1}"/>
    <hyperlink ref="J1" r:id="rId3" xr:uid="{245B7E29-9A40-4675-B88C-AE811C3C5579}"/>
    <hyperlink ref="H1" r:id="rId4" xr:uid="{3D5575E4-5125-4A4E-BC42-15861CF2AD3A}"/>
    <hyperlink ref="K1" r:id="rId5" xr:uid="{E91646BC-62A2-4F7A-A896-009025117546}"/>
  </hyperlinks>
  <pageMargins left="0.7" right="0.7" top="0.75" bottom="0.75" header="0.3" footer="0.3"/>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CF363-19A5-4EE1-B650-8FB421C2F4FF}">
  <sheetPr codeName="Sheet12"/>
  <dimension ref="A1:E11"/>
  <sheetViews>
    <sheetView workbookViewId="0">
      <selection activeCell="F11" sqref="F11"/>
    </sheetView>
  </sheetViews>
  <sheetFormatPr baseColWidth="10" defaultColWidth="8.83203125" defaultRowHeight="14" x14ac:dyDescent="0.15"/>
  <cols>
    <col min="1" max="1" width="13.6640625" customWidth="1"/>
    <col min="2" max="2" width="26.5" customWidth="1"/>
    <col min="3" max="3" width="27.6640625" customWidth="1"/>
    <col min="4" max="4" width="13.6640625" customWidth="1"/>
  </cols>
  <sheetData>
    <row r="1" spans="1:5" ht="29" customHeight="1" x14ac:dyDescent="0.25">
      <c r="A1" s="65" t="s">
        <v>33</v>
      </c>
      <c r="B1" s="65"/>
      <c r="C1" s="65"/>
      <c r="D1" s="65"/>
      <c r="E1" s="25"/>
    </row>
    <row r="2" spans="1:5" ht="18" x14ac:dyDescent="0.2">
      <c r="A2" s="66" t="s">
        <v>34</v>
      </c>
      <c r="B2" s="67"/>
      <c r="C2" s="67"/>
      <c r="D2" s="67"/>
      <c r="E2" s="25"/>
    </row>
    <row r="3" spans="1:5" x14ac:dyDescent="0.15">
      <c r="A3" s="26"/>
      <c r="B3" s="26"/>
      <c r="C3" s="26"/>
      <c r="D3" s="26"/>
      <c r="E3" s="25"/>
    </row>
    <row r="4" spans="1:5" ht="16" x14ac:dyDescent="0.2">
      <c r="A4" s="26"/>
      <c r="B4" s="27" t="s">
        <v>24</v>
      </c>
      <c r="D4" s="26"/>
      <c r="E4" s="25"/>
    </row>
    <row r="5" spans="1:5" ht="16" x14ac:dyDescent="0.2">
      <c r="A5" s="26"/>
      <c r="B5" s="27" t="s">
        <v>25</v>
      </c>
      <c r="D5" s="26"/>
      <c r="E5" s="25"/>
    </row>
    <row r="6" spans="1:5" ht="16" x14ac:dyDescent="0.2">
      <c r="A6" s="26"/>
      <c r="B6" s="27" t="s">
        <v>26</v>
      </c>
      <c r="D6" s="26"/>
      <c r="E6" s="25"/>
    </row>
    <row r="7" spans="1:5" ht="16" x14ac:dyDescent="0.2">
      <c r="A7" s="26"/>
      <c r="B7" s="27" t="s">
        <v>27</v>
      </c>
      <c r="D7" s="26"/>
      <c r="E7" s="25"/>
    </row>
    <row r="8" spans="1:5" ht="16" x14ac:dyDescent="0.2">
      <c r="A8" s="26"/>
      <c r="B8" s="27" t="s">
        <v>35</v>
      </c>
      <c r="D8" s="26"/>
      <c r="E8" s="25"/>
    </row>
    <row r="9" spans="1:5" x14ac:dyDescent="0.15">
      <c r="A9" s="26"/>
      <c r="B9" s="26"/>
      <c r="C9" s="26"/>
      <c r="D9" s="26"/>
      <c r="E9" s="25"/>
    </row>
    <row r="10" spans="1:5" x14ac:dyDescent="0.15">
      <c r="A10" s="26"/>
      <c r="B10" s="26"/>
      <c r="C10" s="26"/>
      <c r="D10" s="26"/>
      <c r="E10" s="25"/>
    </row>
    <row r="11" spans="1:5" x14ac:dyDescent="0.15">
      <c r="A11" s="26"/>
      <c r="B11" s="26"/>
      <c r="C11" s="26"/>
      <c r="D11" s="26"/>
      <c r="E11" s="25"/>
    </row>
  </sheetData>
  <mergeCells count="2">
    <mergeCell ref="A1:D1"/>
    <mergeCell ref="A2:D2"/>
  </mergeCells>
  <dataValidations count="1">
    <dataValidation type="decimal" showInputMessage="1" showErrorMessage="1" error="Input can only be numeric value" sqref="C4:C8" xr:uid="{A44DE214-844D-4A47-ACDF-EF70371EADD5}">
      <formula1>0</formula1>
      <formula2>2000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ClearForm">
                <anchor moveWithCells="1" sizeWithCells="1">
                  <from>
                    <xdr:col>1</xdr:col>
                    <xdr:colOff>139700</xdr:colOff>
                    <xdr:row>8</xdr:row>
                    <xdr:rowOff>165100</xdr:rowOff>
                  </from>
                  <to>
                    <xdr:col>1</xdr:col>
                    <xdr:colOff>1651000</xdr:colOff>
                    <xdr:row>10</xdr:row>
                    <xdr:rowOff>88900</xdr:rowOff>
                  </to>
                </anchor>
              </controlPr>
            </control>
          </mc:Choice>
        </mc:AlternateContent>
        <mc:AlternateContent xmlns:mc="http://schemas.openxmlformats.org/markup-compatibility/2006">
          <mc:Choice Requires="x14">
            <control shapeId="5122" r:id="rId4" name="Button 2">
              <controlPr defaultSize="0" print="0" autoFill="0" autoPict="0" macro="[0]!AddData">
                <anchor moveWithCells="1" sizeWithCells="1">
                  <from>
                    <xdr:col>2</xdr:col>
                    <xdr:colOff>228600</xdr:colOff>
                    <xdr:row>8</xdr:row>
                    <xdr:rowOff>152400</xdr:rowOff>
                  </from>
                  <to>
                    <xdr:col>2</xdr:col>
                    <xdr:colOff>1727200</xdr:colOff>
                    <xdr:row>10</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784AE-69ED-4FB3-9B6C-4CA95566253C}">
  <sheetPr codeName="Sheet2">
    <pageSetUpPr fitToPage="1"/>
  </sheetPr>
  <dimension ref="A1:K188"/>
  <sheetViews>
    <sheetView zoomScale="55" zoomScaleNormal="55" workbookViewId="0">
      <selection activeCell="F131" sqref="F131"/>
    </sheetView>
  </sheetViews>
  <sheetFormatPr baseColWidth="10" defaultColWidth="8.83203125" defaultRowHeight="14" x14ac:dyDescent="0.15"/>
  <cols>
    <col min="1" max="1" width="35.6640625" style="21" bestFit="1" customWidth="1"/>
    <col min="2" max="2" width="59.5" style="21" bestFit="1" customWidth="1"/>
    <col min="3" max="3" width="15.5" style="21" bestFit="1" customWidth="1"/>
    <col min="4" max="4" width="15.1640625" style="21" bestFit="1" customWidth="1"/>
    <col min="5" max="5" width="8.83203125" style="21"/>
    <col min="6" max="6" width="17.5" style="21" customWidth="1"/>
    <col min="7" max="7" width="61.1640625" style="21" bestFit="1" customWidth="1"/>
    <col min="8" max="8" width="18.1640625" style="21" bestFit="1" customWidth="1"/>
    <col min="9" max="9" width="8.83203125" style="21"/>
    <col min="10" max="10" width="24.5" style="21" bestFit="1" customWidth="1"/>
    <col min="11" max="16384" width="8.83203125" style="21"/>
  </cols>
  <sheetData>
    <row r="1" spans="1:11" ht="30.5" customHeight="1" thickBot="1" x14ac:dyDescent="0.3">
      <c r="A1" s="68" t="s">
        <v>36</v>
      </c>
      <c r="B1" s="68"/>
      <c r="C1" s="68"/>
      <c r="D1" s="68"/>
      <c r="G1" s="38" t="s">
        <v>37</v>
      </c>
      <c r="H1" s="38"/>
      <c r="I1" s="38"/>
      <c r="J1" s="38"/>
      <c r="K1" s="38"/>
    </row>
    <row r="2" spans="1:11" s="22" customFormat="1" ht="30.5" customHeight="1" thickTop="1" x14ac:dyDescent="0.2">
      <c r="A2" s="35" t="s">
        <v>38</v>
      </c>
      <c r="B2" s="35" t="s">
        <v>39</v>
      </c>
      <c r="C2" s="35" t="s">
        <v>40</v>
      </c>
      <c r="D2" s="35" t="s">
        <v>41</v>
      </c>
      <c r="G2" s="38" t="s">
        <v>42</v>
      </c>
      <c r="H2" s="39" t="s">
        <v>43</v>
      </c>
      <c r="I2" s="38"/>
      <c r="K2" s="38"/>
    </row>
    <row r="3" spans="1:11" ht="16" hidden="1" x14ac:dyDescent="0.2">
      <c r="A3" s="22" t="s">
        <v>44</v>
      </c>
      <c r="B3" s="22" t="s">
        <v>45</v>
      </c>
      <c r="C3" s="23">
        <v>2019</v>
      </c>
      <c r="D3" s="24">
        <v>17.914482670000002</v>
      </c>
      <c r="G3" s="22"/>
    </row>
    <row r="4" spans="1:11" ht="16" hidden="1" x14ac:dyDescent="0.2">
      <c r="A4" s="22" t="s">
        <v>46</v>
      </c>
      <c r="B4" s="22" t="s">
        <v>45</v>
      </c>
      <c r="C4" s="23">
        <v>2019</v>
      </c>
      <c r="D4" s="24">
        <v>40.145241340600002</v>
      </c>
    </row>
    <row r="5" spans="1:11" ht="16" hidden="1" x14ac:dyDescent="0.2">
      <c r="A5" s="22" t="s">
        <v>47</v>
      </c>
      <c r="B5" s="22" t="s">
        <v>45</v>
      </c>
      <c r="C5" s="23">
        <v>2019</v>
      </c>
      <c r="D5" s="24">
        <v>39.475385887199998</v>
      </c>
    </row>
    <row r="6" spans="1:11" ht="16" hidden="1" x14ac:dyDescent="0.2">
      <c r="A6" s="22" t="s">
        <v>48</v>
      </c>
      <c r="B6" s="22" t="s">
        <v>45</v>
      </c>
      <c r="C6" s="23">
        <v>2019</v>
      </c>
      <c r="D6" s="24">
        <v>146.16716782699999</v>
      </c>
    </row>
    <row r="7" spans="1:11" ht="16" hidden="1" x14ac:dyDescent="0.2">
      <c r="A7" s="22" t="s">
        <v>49</v>
      </c>
      <c r="B7" s="22" t="s">
        <v>45</v>
      </c>
      <c r="C7" s="23">
        <v>2019</v>
      </c>
      <c r="D7" s="24">
        <v>2.0194532091999999</v>
      </c>
    </row>
    <row r="8" spans="1:11" ht="16" hidden="1" x14ac:dyDescent="0.2">
      <c r="A8" s="22" t="s">
        <v>50</v>
      </c>
      <c r="B8" s="22" t="s">
        <v>45</v>
      </c>
      <c r="C8" s="23">
        <v>2019</v>
      </c>
      <c r="D8" s="24">
        <v>20.713957840799999</v>
      </c>
    </row>
    <row r="9" spans="1:11" ht="16" hidden="1" x14ac:dyDescent="0.2">
      <c r="A9" s="22" t="s">
        <v>51</v>
      </c>
      <c r="B9" s="22" t="s">
        <v>45</v>
      </c>
      <c r="C9" s="23">
        <v>2019</v>
      </c>
      <c r="D9" s="24">
        <v>155.77047965099999</v>
      </c>
    </row>
    <row r="10" spans="1:11" ht="16" hidden="1" x14ac:dyDescent="0.2">
      <c r="A10" s="22" t="s">
        <v>52</v>
      </c>
      <c r="B10" s="22" t="s">
        <v>45</v>
      </c>
      <c r="C10" s="23">
        <v>2019</v>
      </c>
      <c r="D10" s="24">
        <v>1.442175</v>
      </c>
    </row>
    <row r="11" spans="1:11" ht="16" hidden="1" x14ac:dyDescent="0.2">
      <c r="A11" s="22" t="s">
        <v>53</v>
      </c>
      <c r="B11" s="22" t="s">
        <v>45</v>
      </c>
      <c r="C11" s="23">
        <v>2019</v>
      </c>
      <c r="D11" s="24">
        <v>0.741282</v>
      </c>
    </row>
    <row r="12" spans="1:11" ht="16" hidden="1" x14ac:dyDescent="0.2">
      <c r="A12" s="22" t="s">
        <v>54</v>
      </c>
      <c r="B12" s="22" t="s">
        <v>45</v>
      </c>
      <c r="C12" s="23">
        <v>2019</v>
      </c>
      <c r="D12" s="24">
        <v>0.541783029024</v>
      </c>
    </row>
    <row r="13" spans="1:11" ht="16" hidden="1" x14ac:dyDescent="0.2">
      <c r="A13" s="22" t="s">
        <v>55</v>
      </c>
      <c r="B13" s="22" t="s">
        <v>45</v>
      </c>
      <c r="C13" s="23">
        <v>2019</v>
      </c>
      <c r="D13" s="24">
        <v>0.89988258177900005</v>
      </c>
    </row>
    <row r="14" spans="1:11" ht="16" hidden="1" x14ac:dyDescent="0.2">
      <c r="A14" s="22" t="s">
        <v>56</v>
      </c>
      <c r="B14" s="22" t="s">
        <v>45</v>
      </c>
      <c r="C14" s="23">
        <v>2019</v>
      </c>
      <c r="D14" s="24">
        <v>0.188021618497</v>
      </c>
    </row>
    <row r="15" spans="1:11" ht="16" hidden="1" x14ac:dyDescent="0.2">
      <c r="A15" s="22" t="s">
        <v>57</v>
      </c>
      <c r="B15" s="22" t="s">
        <v>45</v>
      </c>
      <c r="C15" s="23">
        <v>2019</v>
      </c>
      <c r="D15" s="24">
        <v>31.412871920600001</v>
      </c>
    </row>
    <row r="16" spans="1:11" ht="16" hidden="1" x14ac:dyDescent="0.2">
      <c r="A16" s="22" t="s">
        <v>58</v>
      </c>
      <c r="B16" s="22" t="s">
        <v>45</v>
      </c>
      <c r="C16" s="23">
        <v>2019</v>
      </c>
      <c r="D16" s="24">
        <v>2.2225668662400002</v>
      </c>
    </row>
    <row r="17" spans="1:4" ht="16" hidden="1" x14ac:dyDescent="0.2">
      <c r="A17" s="22" t="s">
        <v>59</v>
      </c>
      <c r="B17" s="22" t="s">
        <v>45</v>
      </c>
      <c r="C17" s="23">
        <v>2019</v>
      </c>
      <c r="D17" s="24">
        <v>0.69701659405600003</v>
      </c>
    </row>
    <row r="18" spans="1:4" ht="16" hidden="1" x14ac:dyDescent="0.2">
      <c r="A18" s="22" t="s">
        <v>60</v>
      </c>
      <c r="B18" s="22" t="s">
        <v>45</v>
      </c>
      <c r="C18" s="23">
        <v>2019</v>
      </c>
      <c r="D18" s="24">
        <v>0.73589300000000002</v>
      </c>
    </row>
    <row r="19" spans="1:4" ht="16" hidden="1" x14ac:dyDescent="0.2">
      <c r="A19" s="22" t="s">
        <v>61</v>
      </c>
      <c r="B19" s="22" t="s">
        <v>45</v>
      </c>
      <c r="C19" s="23">
        <v>2019</v>
      </c>
      <c r="D19" s="24">
        <v>1.3165839965999999</v>
      </c>
    </row>
    <row r="20" spans="1:4" ht="16" hidden="1" x14ac:dyDescent="0.2">
      <c r="A20" s="22" t="s">
        <v>62</v>
      </c>
      <c r="B20" s="22" t="s">
        <v>45</v>
      </c>
      <c r="C20" s="23">
        <v>2019</v>
      </c>
      <c r="D20" s="24">
        <v>208.14828767700001</v>
      </c>
    </row>
    <row r="21" spans="1:4" ht="16" hidden="1" x14ac:dyDescent="0.2">
      <c r="A21" s="22" t="s">
        <v>63</v>
      </c>
      <c r="B21" s="22" t="s">
        <v>45</v>
      </c>
      <c r="C21" s="23">
        <v>2019</v>
      </c>
      <c r="D21" s="24">
        <v>1.37078595612</v>
      </c>
    </row>
    <row r="22" spans="1:4" ht="16" hidden="1" x14ac:dyDescent="0.2">
      <c r="A22" s="22" t="s">
        <v>64</v>
      </c>
      <c r="B22" s="22" t="s">
        <v>45</v>
      </c>
      <c r="C22" s="23">
        <v>2019</v>
      </c>
      <c r="D22" s="24">
        <v>18.900128695100001</v>
      </c>
    </row>
    <row r="23" spans="1:4" ht="16" hidden="1" x14ac:dyDescent="0.2">
      <c r="A23" s="22" t="s">
        <v>65</v>
      </c>
      <c r="B23" s="22" t="s">
        <v>45</v>
      </c>
      <c r="C23" s="23">
        <v>2019</v>
      </c>
      <c r="D23" s="24">
        <v>2.6941051256600002</v>
      </c>
    </row>
    <row r="24" spans="1:4" ht="16" hidden="1" x14ac:dyDescent="0.2">
      <c r="A24" s="22" t="s">
        <v>66</v>
      </c>
      <c r="B24" s="22" t="s">
        <v>45</v>
      </c>
      <c r="C24" s="23">
        <v>2019</v>
      </c>
      <c r="D24" s="24">
        <v>0.65518388323300003</v>
      </c>
    </row>
    <row r="25" spans="1:4" ht="16" hidden="1" x14ac:dyDescent="0.2">
      <c r="A25" s="22" t="s">
        <v>67</v>
      </c>
      <c r="B25" s="22" t="s">
        <v>45</v>
      </c>
      <c r="C25" s="23">
        <v>2019</v>
      </c>
      <c r="D25" s="24">
        <v>4.6155530837500001</v>
      </c>
    </row>
    <row r="26" spans="1:4" ht="16" hidden="1" x14ac:dyDescent="0.2">
      <c r="A26" s="22" t="s">
        <v>68</v>
      </c>
      <c r="B26" s="22" t="s">
        <v>45</v>
      </c>
      <c r="C26" s="23">
        <v>2019</v>
      </c>
      <c r="D26" s="24">
        <v>2.2473836541200001</v>
      </c>
    </row>
    <row r="27" spans="1:4" ht="16" hidden="1" x14ac:dyDescent="0.2">
      <c r="A27" s="22" t="s">
        <v>69</v>
      </c>
      <c r="B27" s="22" t="s">
        <v>45</v>
      </c>
      <c r="C27" s="23">
        <v>2019</v>
      </c>
      <c r="D27" s="24">
        <v>0.65397195950700004</v>
      </c>
    </row>
    <row r="28" spans="1:4" ht="16" hidden="1" x14ac:dyDescent="0.2">
      <c r="A28" s="22" t="s">
        <v>70</v>
      </c>
      <c r="B28" s="22" t="s">
        <v>45</v>
      </c>
      <c r="C28" s="23">
        <v>2019</v>
      </c>
      <c r="D28" s="24">
        <v>0.67832336578999997</v>
      </c>
    </row>
    <row r="29" spans="1:4" ht="16" hidden="1" x14ac:dyDescent="0.2">
      <c r="A29" s="22" t="s">
        <v>71</v>
      </c>
      <c r="B29" s="22" t="s">
        <v>45</v>
      </c>
      <c r="C29" s="23">
        <v>2019</v>
      </c>
      <c r="D29" s="24">
        <v>202.68466433399999</v>
      </c>
    </row>
    <row r="30" spans="1:4" ht="16" hidden="1" x14ac:dyDescent="0.2">
      <c r="A30" s="22" t="s">
        <v>72</v>
      </c>
      <c r="B30" s="22" t="s">
        <v>45</v>
      </c>
      <c r="C30" s="23">
        <v>2019</v>
      </c>
      <c r="D30" s="24">
        <v>614.27390186100001</v>
      </c>
    </row>
    <row r="31" spans="1:4" ht="16" hidden="1" x14ac:dyDescent="0.2">
      <c r="A31" s="22" t="s">
        <v>73</v>
      </c>
      <c r="B31" s="22" t="s">
        <v>45</v>
      </c>
      <c r="C31" s="23">
        <v>2019</v>
      </c>
      <c r="D31" s="24">
        <v>47.395538013600003</v>
      </c>
    </row>
    <row r="32" spans="1:4" ht="16" hidden="1" x14ac:dyDescent="0.2">
      <c r="A32" s="22" t="s">
        <v>74</v>
      </c>
      <c r="B32" s="22" t="s">
        <v>45</v>
      </c>
      <c r="C32" s="23">
        <v>2019</v>
      </c>
      <c r="D32" s="24">
        <v>1456.0193830600001</v>
      </c>
    </row>
    <row r="33" spans="1:4" ht="16" hidden="1" x14ac:dyDescent="0.2">
      <c r="A33" s="22" t="s">
        <v>75</v>
      </c>
      <c r="B33" s="22" t="s">
        <v>45</v>
      </c>
      <c r="C33" s="23">
        <v>2019</v>
      </c>
      <c r="D33" s="24">
        <v>232.21811152399999</v>
      </c>
    </row>
    <row r="34" spans="1:4" ht="16" hidden="1" x14ac:dyDescent="0.2">
      <c r="A34" s="22" t="s">
        <v>76</v>
      </c>
      <c r="B34" s="22" t="s">
        <v>45</v>
      </c>
      <c r="C34" s="23">
        <v>2019</v>
      </c>
      <c r="D34" s="24">
        <v>1.186223</v>
      </c>
    </row>
    <row r="35" spans="1:4" ht="16" hidden="1" x14ac:dyDescent="0.2">
      <c r="A35" s="22" t="s">
        <v>77</v>
      </c>
      <c r="B35" s="22" t="s">
        <v>45</v>
      </c>
      <c r="C35" s="23">
        <v>2019</v>
      </c>
      <c r="D35" s="24">
        <v>277.85286749099998</v>
      </c>
    </row>
    <row r="36" spans="1:4" ht="16" hidden="1" x14ac:dyDescent="0.2">
      <c r="A36" s="22" t="s">
        <v>78</v>
      </c>
      <c r="B36" s="22" t="s">
        <v>45</v>
      </c>
      <c r="C36" s="23">
        <v>2019</v>
      </c>
      <c r="D36" s="24">
        <v>252.02796029199999</v>
      </c>
    </row>
    <row r="37" spans="1:4" ht="16" hidden="1" x14ac:dyDescent="0.2">
      <c r="A37" s="22" t="s">
        <v>79</v>
      </c>
      <c r="B37" s="22" t="s">
        <v>45</v>
      </c>
      <c r="C37" s="23">
        <v>2019</v>
      </c>
      <c r="D37" s="24">
        <v>387.770444</v>
      </c>
    </row>
    <row r="38" spans="1:4" ht="16" hidden="1" x14ac:dyDescent="0.2">
      <c r="A38" s="22" t="s">
        <v>80</v>
      </c>
      <c r="B38" s="22" t="s">
        <v>45</v>
      </c>
      <c r="C38" s="23">
        <v>2019</v>
      </c>
      <c r="D38" s="24">
        <v>4.2001178686299996</v>
      </c>
    </row>
    <row r="39" spans="1:4" ht="16" hidden="1" x14ac:dyDescent="0.2">
      <c r="A39" s="22" t="s">
        <v>81</v>
      </c>
      <c r="B39" s="22" t="s">
        <v>45</v>
      </c>
      <c r="C39" s="23">
        <v>2019</v>
      </c>
      <c r="D39" s="24">
        <v>1317.1881659999999</v>
      </c>
    </row>
    <row r="40" spans="1:4" ht="16" hidden="1" x14ac:dyDescent="0.2">
      <c r="A40" s="22" t="s">
        <v>82</v>
      </c>
      <c r="B40" s="22" t="s">
        <v>45</v>
      </c>
      <c r="C40" s="23">
        <v>2019</v>
      </c>
      <c r="D40" s="24">
        <v>188.46581658100001</v>
      </c>
    </row>
    <row r="41" spans="1:4" ht="16" hidden="1" x14ac:dyDescent="0.2">
      <c r="A41" s="22" t="s">
        <v>83</v>
      </c>
      <c r="B41" s="22" t="s">
        <v>45</v>
      </c>
      <c r="C41" s="23">
        <v>2019</v>
      </c>
      <c r="D41" s="24">
        <v>834.58538967300001</v>
      </c>
    </row>
    <row r="42" spans="1:4" ht="16" hidden="1" x14ac:dyDescent="0.2">
      <c r="A42" s="22" t="s">
        <v>84</v>
      </c>
      <c r="B42" s="22" t="s">
        <v>45</v>
      </c>
      <c r="C42" s="23">
        <v>2019</v>
      </c>
      <c r="D42" s="24">
        <v>348.27333337099998</v>
      </c>
    </row>
    <row r="43" spans="1:4" ht="16" hidden="1" x14ac:dyDescent="0.2">
      <c r="A43" s="22" t="s">
        <v>85</v>
      </c>
      <c r="B43" s="22" t="s">
        <v>45</v>
      </c>
      <c r="C43" s="23">
        <v>2019</v>
      </c>
      <c r="D43" s="24">
        <v>330.79584799999998</v>
      </c>
    </row>
    <row r="44" spans="1:4" ht="16" hidden="1" x14ac:dyDescent="0.2">
      <c r="A44" s="22" t="s">
        <v>86</v>
      </c>
      <c r="B44" s="22" t="s">
        <v>45</v>
      </c>
      <c r="C44" s="23">
        <v>2019</v>
      </c>
      <c r="D44" s="24">
        <v>245.02546694899999</v>
      </c>
    </row>
    <row r="45" spans="1:4" ht="16" hidden="1" x14ac:dyDescent="0.2">
      <c r="A45" s="22" t="s">
        <v>87</v>
      </c>
      <c r="B45" s="22" t="s">
        <v>45</v>
      </c>
      <c r="C45" s="23">
        <v>2019</v>
      </c>
      <c r="D45" s="24">
        <v>3.17740052566</v>
      </c>
    </row>
    <row r="46" spans="1:4" ht="16" hidden="1" x14ac:dyDescent="0.2">
      <c r="A46" s="22" t="s">
        <v>88</v>
      </c>
      <c r="B46" s="22" t="s">
        <v>45</v>
      </c>
      <c r="C46" s="23">
        <v>2019</v>
      </c>
      <c r="D46" s="24">
        <v>1.37871956324</v>
      </c>
    </row>
    <row r="47" spans="1:4" ht="16" hidden="1" x14ac:dyDescent="0.2">
      <c r="A47" s="22" t="s">
        <v>89</v>
      </c>
      <c r="B47" s="22" t="s">
        <v>45</v>
      </c>
      <c r="C47" s="23">
        <v>2019</v>
      </c>
      <c r="D47" s="24">
        <v>0.59107682073400003</v>
      </c>
    </row>
    <row r="48" spans="1:4" ht="16" hidden="1" x14ac:dyDescent="0.2">
      <c r="A48" s="22" t="s">
        <v>90</v>
      </c>
      <c r="B48" s="22" t="s">
        <v>45</v>
      </c>
      <c r="C48" s="23">
        <v>2019</v>
      </c>
      <c r="D48" s="24">
        <v>12.163287</v>
      </c>
    </row>
    <row r="49" spans="1:4" ht="16" hidden="1" x14ac:dyDescent="0.2">
      <c r="A49" s="22" t="s">
        <v>91</v>
      </c>
      <c r="B49" s="22" t="s">
        <v>45</v>
      </c>
      <c r="C49" s="23">
        <v>2019</v>
      </c>
      <c r="D49" s="24">
        <v>6.4632540000000001</v>
      </c>
    </row>
    <row r="50" spans="1:4" ht="16" hidden="1" x14ac:dyDescent="0.2">
      <c r="A50" s="22" t="s">
        <v>92</v>
      </c>
      <c r="B50" s="22" t="s">
        <v>45</v>
      </c>
      <c r="C50" s="23">
        <v>2019</v>
      </c>
      <c r="D50" s="24">
        <v>105.005967896</v>
      </c>
    </row>
    <row r="51" spans="1:4" ht="16" hidden="1" x14ac:dyDescent="0.2">
      <c r="A51" s="22" t="s">
        <v>93</v>
      </c>
      <c r="B51" s="22" t="s">
        <v>45</v>
      </c>
      <c r="C51" s="23">
        <v>2019</v>
      </c>
      <c r="D51" s="24">
        <v>1.7597041713499999</v>
      </c>
    </row>
    <row r="52" spans="1:4" ht="16" hidden="1" x14ac:dyDescent="0.2">
      <c r="A52" s="22" t="s">
        <v>94</v>
      </c>
      <c r="B52" s="22" t="s">
        <v>45</v>
      </c>
      <c r="C52" s="23">
        <v>2019</v>
      </c>
      <c r="D52" s="24">
        <v>22.0946855732</v>
      </c>
    </row>
    <row r="53" spans="1:4" ht="16" hidden="1" x14ac:dyDescent="0.2">
      <c r="A53" s="22" t="s">
        <v>95</v>
      </c>
      <c r="B53" s="22" t="s">
        <v>45</v>
      </c>
      <c r="C53" s="23">
        <v>2019</v>
      </c>
      <c r="D53" s="24">
        <v>0.52058005211400005</v>
      </c>
    </row>
    <row r="54" spans="1:4" ht="16" hidden="1" x14ac:dyDescent="0.2">
      <c r="A54" s="22" t="s">
        <v>96</v>
      </c>
      <c r="B54" s="22" t="s">
        <v>45</v>
      </c>
      <c r="C54" s="23">
        <v>2019</v>
      </c>
      <c r="D54" s="24">
        <v>4.3160278220299997</v>
      </c>
    </row>
    <row r="55" spans="1:4" ht="16" hidden="1" x14ac:dyDescent="0.2">
      <c r="A55" s="22" t="s">
        <v>97</v>
      </c>
      <c r="B55" s="22" t="s">
        <v>45</v>
      </c>
      <c r="C55" s="23">
        <v>2019</v>
      </c>
      <c r="D55" s="24">
        <v>0.45690657850499999</v>
      </c>
    </row>
    <row r="56" spans="1:4" ht="16" hidden="1" x14ac:dyDescent="0.2">
      <c r="A56" s="22" t="s">
        <v>98</v>
      </c>
      <c r="B56" s="22" t="s">
        <v>45</v>
      </c>
      <c r="C56" s="23">
        <v>2019</v>
      </c>
      <c r="D56" s="24">
        <v>245.86016020599999</v>
      </c>
    </row>
    <row r="57" spans="1:4" ht="16" hidden="1" x14ac:dyDescent="0.2">
      <c r="A57" s="22" t="s">
        <v>99</v>
      </c>
      <c r="B57" s="22" t="s">
        <v>45</v>
      </c>
      <c r="C57" s="23">
        <v>2019</v>
      </c>
      <c r="D57" s="24">
        <v>0.52996900000000002</v>
      </c>
    </row>
    <row r="58" spans="1:4" ht="16" hidden="1" x14ac:dyDescent="0.2">
      <c r="A58" s="22" t="s">
        <v>100</v>
      </c>
      <c r="B58" s="22" t="s">
        <v>45</v>
      </c>
      <c r="C58" s="23">
        <v>2019</v>
      </c>
      <c r="D58" s="24">
        <v>6.2507882345399999</v>
      </c>
    </row>
    <row r="59" spans="1:4" ht="16" hidden="1" x14ac:dyDescent="0.2">
      <c r="A59" s="22" t="s">
        <v>101</v>
      </c>
      <c r="B59" s="22" t="s">
        <v>45</v>
      </c>
      <c r="C59" s="23">
        <v>2019</v>
      </c>
      <c r="D59" s="24">
        <v>10.3494460596</v>
      </c>
    </row>
    <row r="60" spans="1:4" ht="16" hidden="1" x14ac:dyDescent="0.2">
      <c r="A60" s="22" t="s">
        <v>102</v>
      </c>
      <c r="B60" s="22" t="s">
        <v>45</v>
      </c>
      <c r="C60" s="23">
        <v>2019</v>
      </c>
      <c r="D60" s="24">
        <v>0.93368977397399999</v>
      </c>
    </row>
    <row r="61" spans="1:4" ht="16" hidden="1" x14ac:dyDescent="0.2">
      <c r="A61" s="22" t="s">
        <v>103</v>
      </c>
      <c r="B61" s="22" t="s">
        <v>45</v>
      </c>
      <c r="C61" s="23">
        <v>2019</v>
      </c>
      <c r="D61" s="24">
        <v>0.81954499999999997</v>
      </c>
    </row>
    <row r="62" spans="1:4" ht="16" hidden="1" x14ac:dyDescent="0.2">
      <c r="A62" s="22" t="s">
        <v>104</v>
      </c>
      <c r="B62" s="22" t="s">
        <v>45</v>
      </c>
      <c r="C62" s="23">
        <v>2019</v>
      </c>
      <c r="D62" s="24">
        <v>0.70935800000000004</v>
      </c>
    </row>
    <row r="63" spans="1:4" ht="16" hidden="1" x14ac:dyDescent="0.2">
      <c r="A63" s="22" t="s">
        <v>105</v>
      </c>
      <c r="B63" s="22" t="s">
        <v>45</v>
      </c>
      <c r="C63" s="23">
        <v>2019</v>
      </c>
      <c r="D63" s="24">
        <v>291.49891221899998</v>
      </c>
    </row>
    <row r="64" spans="1:4" ht="16" hidden="1" x14ac:dyDescent="0.2">
      <c r="A64" s="22" t="s">
        <v>106</v>
      </c>
      <c r="B64" s="22" t="s">
        <v>45</v>
      </c>
      <c r="C64" s="23">
        <v>2019</v>
      </c>
      <c r="D64" s="24">
        <v>16.775192412100001</v>
      </c>
    </row>
    <row r="65" spans="1:4" ht="16" hidden="1" x14ac:dyDescent="0.2">
      <c r="A65" s="22" t="s">
        <v>107</v>
      </c>
      <c r="B65" s="22" t="s">
        <v>45</v>
      </c>
      <c r="C65" s="23">
        <v>2019</v>
      </c>
      <c r="D65" s="24">
        <v>0.845610437765</v>
      </c>
    </row>
    <row r="66" spans="1:4" ht="16" hidden="1" x14ac:dyDescent="0.2">
      <c r="A66" s="22" t="s">
        <v>108</v>
      </c>
      <c r="B66" s="22" t="s">
        <v>45</v>
      </c>
      <c r="C66" s="23">
        <v>2019</v>
      </c>
      <c r="D66" s="24">
        <v>0.72115799999999997</v>
      </c>
    </row>
    <row r="67" spans="1:4" ht="16" hidden="1" x14ac:dyDescent="0.2">
      <c r="A67" s="22" t="s">
        <v>109</v>
      </c>
      <c r="B67" s="22" t="s">
        <v>45</v>
      </c>
      <c r="C67" s="23">
        <v>2019</v>
      </c>
      <c r="D67" s="24">
        <v>2.0327338315799999</v>
      </c>
    </row>
    <row r="68" spans="1:4" ht="16" hidden="1" x14ac:dyDescent="0.2">
      <c r="A68" s="22" t="s">
        <v>110</v>
      </c>
      <c r="B68" s="22" t="s">
        <v>45</v>
      </c>
      <c r="C68" s="23">
        <v>2019</v>
      </c>
      <c r="D68" s="24">
        <v>0.53812899999999997</v>
      </c>
    </row>
    <row r="69" spans="1:4" ht="16" hidden="1" x14ac:dyDescent="0.2">
      <c r="A69" s="22" t="s">
        <v>111</v>
      </c>
      <c r="B69" s="22" t="s">
        <v>45</v>
      </c>
      <c r="C69" s="23">
        <v>2019</v>
      </c>
      <c r="D69" s="24">
        <v>1.6401711105600001</v>
      </c>
    </row>
    <row r="70" spans="1:4" ht="16" hidden="1" x14ac:dyDescent="0.2">
      <c r="A70" s="22" t="s">
        <v>112</v>
      </c>
      <c r="B70" s="22" t="s">
        <v>45</v>
      </c>
      <c r="C70" s="23">
        <v>2019</v>
      </c>
      <c r="D70" s="24">
        <v>3.94233344405</v>
      </c>
    </row>
    <row r="71" spans="1:4" ht="16" hidden="1" x14ac:dyDescent="0.2">
      <c r="A71" s="22" t="s">
        <v>113</v>
      </c>
      <c r="B71" s="22" t="s">
        <v>45</v>
      </c>
      <c r="C71" s="23">
        <v>2019</v>
      </c>
      <c r="D71" s="24">
        <v>3305.0754038999999</v>
      </c>
    </row>
    <row r="72" spans="1:4" ht="16" hidden="1" x14ac:dyDescent="0.2">
      <c r="A72" s="22" t="s">
        <v>114</v>
      </c>
      <c r="B72" s="22" t="s">
        <v>45</v>
      </c>
      <c r="C72" s="23">
        <v>2019</v>
      </c>
      <c r="D72" s="24">
        <v>196.66527371699999</v>
      </c>
    </row>
    <row r="73" spans="1:4" ht="16" hidden="1" x14ac:dyDescent="0.2">
      <c r="A73" s="22" t="s">
        <v>115</v>
      </c>
      <c r="B73" s="22" t="s">
        <v>45</v>
      </c>
      <c r="C73" s="23">
        <v>2019</v>
      </c>
      <c r="D73" s="24">
        <v>100.876253504</v>
      </c>
    </row>
    <row r="74" spans="1:4" ht="16" hidden="1" x14ac:dyDescent="0.2">
      <c r="A74" s="22" t="s">
        <v>116</v>
      </c>
      <c r="B74" s="22" t="s">
        <v>45</v>
      </c>
      <c r="C74" s="23">
        <v>2019</v>
      </c>
      <c r="D74" s="24">
        <v>35.287156513600003</v>
      </c>
    </row>
    <row r="75" spans="1:4" ht="16" hidden="1" x14ac:dyDescent="0.2">
      <c r="A75" s="22" t="s">
        <v>117</v>
      </c>
      <c r="B75" s="22" t="s">
        <v>45</v>
      </c>
      <c r="C75" s="23">
        <v>2019</v>
      </c>
      <c r="D75" s="24">
        <v>10.550489599300001</v>
      </c>
    </row>
    <row r="76" spans="1:4" ht="21" x14ac:dyDescent="0.25">
      <c r="A76" s="34" t="s">
        <v>24</v>
      </c>
      <c r="B76" s="34" t="s">
        <v>45</v>
      </c>
      <c r="C76" s="36">
        <v>2019</v>
      </c>
      <c r="D76" s="37">
        <v>6.1078173582400002</v>
      </c>
    </row>
    <row r="77" spans="1:4" ht="16" hidden="1" x14ac:dyDescent="0.2">
      <c r="A77" s="22" t="s">
        <v>118</v>
      </c>
      <c r="B77" s="22" t="s">
        <v>45</v>
      </c>
      <c r="C77" s="23">
        <v>2019</v>
      </c>
      <c r="D77" s="24">
        <v>139.08453299999999</v>
      </c>
    </row>
    <row r="78" spans="1:4" ht="16" hidden="1" x14ac:dyDescent="0.2">
      <c r="A78" s="22" t="s">
        <v>119</v>
      </c>
      <c r="B78" s="22" t="s">
        <v>45</v>
      </c>
      <c r="C78" s="23">
        <v>2019</v>
      </c>
      <c r="D78" s="24">
        <v>136.49683999999999</v>
      </c>
    </row>
    <row r="79" spans="1:4" ht="16" hidden="1" x14ac:dyDescent="0.2">
      <c r="A79" s="22" t="s">
        <v>120</v>
      </c>
      <c r="B79" s="22" t="s">
        <v>45</v>
      </c>
      <c r="C79" s="23">
        <v>2019</v>
      </c>
      <c r="D79" s="24">
        <v>21.2755038339</v>
      </c>
    </row>
    <row r="80" spans="1:4" ht="16" hidden="1" x14ac:dyDescent="0.2">
      <c r="A80" s="22" t="s">
        <v>121</v>
      </c>
      <c r="B80" s="22" t="s">
        <v>45</v>
      </c>
      <c r="C80" s="23">
        <v>2019</v>
      </c>
      <c r="D80" s="24">
        <v>4743.33744682</v>
      </c>
    </row>
    <row r="81" spans="1:4" ht="16" hidden="1" x14ac:dyDescent="0.2">
      <c r="A81" s="22" t="s">
        <v>122</v>
      </c>
      <c r="B81" s="22" t="s">
        <v>45</v>
      </c>
      <c r="C81" s="23">
        <v>2019</v>
      </c>
      <c r="D81" s="24">
        <v>22758.129318200001</v>
      </c>
    </row>
    <row r="82" spans="1:4" ht="16" hidden="1" x14ac:dyDescent="0.2">
      <c r="A82" s="22" t="s">
        <v>123</v>
      </c>
      <c r="B82" s="22" t="s">
        <v>45</v>
      </c>
      <c r="C82" s="23">
        <v>2019</v>
      </c>
      <c r="D82" s="24">
        <v>619.47812852300001</v>
      </c>
    </row>
    <row r="83" spans="1:4" ht="16" hidden="1" x14ac:dyDescent="0.2">
      <c r="A83" s="22" t="s">
        <v>124</v>
      </c>
      <c r="B83" s="22" t="s">
        <v>45</v>
      </c>
      <c r="C83" s="23">
        <v>2019</v>
      </c>
      <c r="D83" s="24">
        <v>0.78348700000000004</v>
      </c>
    </row>
    <row r="84" spans="1:4" ht="16" hidden="1" x14ac:dyDescent="0.2">
      <c r="A84" s="22" t="s">
        <v>125</v>
      </c>
      <c r="B84" s="22" t="s">
        <v>45</v>
      </c>
      <c r="C84" s="23">
        <v>2019</v>
      </c>
      <c r="D84" s="24">
        <v>3.622217</v>
      </c>
    </row>
    <row r="85" spans="1:4" ht="16" hidden="1" x14ac:dyDescent="0.2">
      <c r="A85" s="22" t="s">
        <v>126</v>
      </c>
      <c r="B85" s="22" t="s">
        <v>45</v>
      </c>
      <c r="C85" s="23">
        <v>2019</v>
      </c>
      <c r="D85" s="24">
        <v>0.64917599999999998</v>
      </c>
    </row>
    <row r="86" spans="1:4" ht="16" hidden="1" x14ac:dyDescent="0.2">
      <c r="A86" s="22" t="s">
        <v>127</v>
      </c>
      <c r="B86" s="22" t="s">
        <v>45</v>
      </c>
      <c r="C86" s="23">
        <v>2019</v>
      </c>
      <c r="D86" s="24">
        <v>73.005889230799994</v>
      </c>
    </row>
    <row r="87" spans="1:4" ht="16" hidden="1" x14ac:dyDescent="0.2">
      <c r="A87" s="22" t="s">
        <v>128</v>
      </c>
      <c r="B87" s="22" t="s">
        <v>45</v>
      </c>
      <c r="C87" s="23">
        <v>2019</v>
      </c>
      <c r="D87" s="24">
        <v>100.641115</v>
      </c>
    </row>
    <row r="88" spans="1:4" ht="16" hidden="1" x14ac:dyDescent="0.2">
      <c r="A88" s="22" t="s">
        <v>129</v>
      </c>
      <c r="B88" s="22" t="s">
        <v>45</v>
      </c>
      <c r="C88" s="23">
        <v>2019</v>
      </c>
      <c r="D88" s="24">
        <v>0.29741150862100002</v>
      </c>
    </row>
    <row r="89" spans="1:4" ht="21" x14ac:dyDescent="0.25">
      <c r="A89" s="34" t="s">
        <v>130</v>
      </c>
      <c r="B89" s="34" t="s">
        <v>45</v>
      </c>
      <c r="C89" s="36">
        <v>2019</v>
      </c>
      <c r="D89" s="37">
        <v>136.48349998699999</v>
      </c>
    </row>
    <row r="90" spans="1:4" ht="16" hidden="1" x14ac:dyDescent="0.2">
      <c r="A90" s="22" t="s">
        <v>131</v>
      </c>
      <c r="B90" s="22" t="s">
        <v>45</v>
      </c>
      <c r="C90" s="23">
        <v>2019</v>
      </c>
      <c r="D90" s="24">
        <v>40.975444939100001</v>
      </c>
    </row>
    <row r="91" spans="1:4" ht="16" hidden="1" x14ac:dyDescent="0.2">
      <c r="A91" s="22" t="s">
        <v>132</v>
      </c>
      <c r="B91" s="22" t="s">
        <v>45</v>
      </c>
      <c r="C91" s="23">
        <v>2019</v>
      </c>
      <c r="D91" s="24">
        <v>1.0035320240700001</v>
      </c>
    </row>
    <row r="92" spans="1:4" ht="16" hidden="1" x14ac:dyDescent="0.2">
      <c r="A92" s="22" t="s">
        <v>133</v>
      </c>
      <c r="B92" s="22" t="s">
        <v>45</v>
      </c>
      <c r="C92" s="23">
        <v>2019</v>
      </c>
      <c r="D92" s="24">
        <v>843.244508</v>
      </c>
    </row>
    <row r="93" spans="1:4" ht="16" hidden="1" x14ac:dyDescent="0.2">
      <c r="A93" s="22" t="s">
        <v>134</v>
      </c>
      <c r="B93" s="22" t="s">
        <v>45</v>
      </c>
      <c r="C93" s="23">
        <v>2019</v>
      </c>
      <c r="D93" s="24">
        <v>0.33238983875900002</v>
      </c>
    </row>
    <row r="94" spans="1:4" ht="16" hidden="1" x14ac:dyDescent="0.2">
      <c r="A94" s="22" t="s">
        <v>135</v>
      </c>
      <c r="B94" s="22" t="s">
        <v>45</v>
      </c>
      <c r="C94" s="23">
        <v>2019</v>
      </c>
      <c r="D94" s="24">
        <v>0.18661905090200001</v>
      </c>
    </row>
    <row r="95" spans="1:4" ht="16" hidden="1" x14ac:dyDescent="0.2">
      <c r="A95" s="22" t="s">
        <v>136</v>
      </c>
      <c r="B95" s="22" t="s">
        <v>45</v>
      </c>
      <c r="C95" s="23">
        <v>2019</v>
      </c>
      <c r="D95" s="24">
        <v>16.658587131400001</v>
      </c>
    </row>
    <row r="96" spans="1:4" ht="16" hidden="1" x14ac:dyDescent="0.2">
      <c r="A96" s="22" t="s">
        <v>137</v>
      </c>
      <c r="B96" s="22" t="s">
        <v>45</v>
      </c>
      <c r="C96" s="23">
        <v>2019</v>
      </c>
      <c r="D96" s="24">
        <v>2788.1527554300001</v>
      </c>
    </row>
    <row r="97" spans="1:4" ht="16" hidden="1" x14ac:dyDescent="0.2">
      <c r="A97" s="22" t="s">
        <v>138</v>
      </c>
      <c r="B97" s="22" t="s">
        <v>45</v>
      </c>
      <c r="C97" s="23">
        <v>2019</v>
      </c>
      <c r="D97" s="24">
        <v>0.48230600000000001</v>
      </c>
    </row>
    <row r="98" spans="1:4" ht="16" hidden="1" x14ac:dyDescent="0.2">
      <c r="A98" s="22" t="s">
        <v>139</v>
      </c>
      <c r="B98" s="22" t="s">
        <v>45</v>
      </c>
      <c r="C98" s="23">
        <v>2019</v>
      </c>
      <c r="D98" s="24">
        <v>775.56109250199995</v>
      </c>
    </row>
    <row r="99" spans="1:4" ht="16" hidden="1" x14ac:dyDescent="0.2">
      <c r="A99" s="22" t="s">
        <v>140</v>
      </c>
      <c r="B99" s="22" t="s">
        <v>45</v>
      </c>
      <c r="C99" s="23">
        <v>2019</v>
      </c>
      <c r="D99" s="24">
        <v>5.72184155296</v>
      </c>
    </row>
    <row r="100" spans="1:4" ht="16" hidden="1" x14ac:dyDescent="0.2">
      <c r="A100" s="22" t="s">
        <v>141</v>
      </c>
      <c r="B100" s="22" t="s">
        <v>45</v>
      </c>
      <c r="C100" s="23">
        <v>2019</v>
      </c>
      <c r="D100" s="24">
        <v>0.41709685570900001</v>
      </c>
    </row>
    <row r="101" spans="1:4" ht="16" hidden="1" x14ac:dyDescent="0.2">
      <c r="A101" s="22" t="s">
        <v>142</v>
      </c>
      <c r="B101" s="22" t="s">
        <v>45</v>
      </c>
      <c r="C101" s="23">
        <v>2019</v>
      </c>
      <c r="D101" s="24">
        <v>0.67805244642200002</v>
      </c>
    </row>
    <row r="102" spans="1:4" ht="16" hidden="1" x14ac:dyDescent="0.2">
      <c r="A102" s="22" t="s">
        <v>143</v>
      </c>
      <c r="B102" s="22" t="s">
        <v>45</v>
      </c>
      <c r="C102" s="23">
        <v>2019</v>
      </c>
      <c r="D102" s="24">
        <v>0.43756899999999999</v>
      </c>
    </row>
    <row r="103" spans="1:4" ht="16" hidden="1" x14ac:dyDescent="0.2">
      <c r="A103" s="22" t="s">
        <v>144</v>
      </c>
      <c r="B103" s="22" t="s">
        <v>45</v>
      </c>
      <c r="C103" s="23">
        <v>2019</v>
      </c>
      <c r="D103" s="24">
        <v>0.82239700000000004</v>
      </c>
    </row>
    <row r="104" spans="1:4" ht="16" hidden="1" x14ac:dyDescent="0.2">
      <c r="A104" s="22" t="s">
        <v>145</v>
      </c>
      <c r="B104" s="22" t="s">
        <v>45</v>
      </c>
      <c r="C104" s="23">
        <v>2019</v>
      </c>
      <c r="D104" s="24">
        <v>5.2429075962000002</v>
      </c>
    </row>
    <row r="105" spans="1:4" ht="16" hidden="1" x14ac:dyDescent="0.2">
      <c r="A105" s="22" t="s">
        <v>146</v>
      </c>
      <c r="B105" s="22" t="s">
        <v>45</v>
      </c>
      <c r="C105" s="23">
        <v>2019</v>
      </c>
      <c r="D105" s="24">
        <v>1101.0378184799999</v>
      </c>
    </row>
    <row r="106" spans="1:4" ht="16" hidden="1" x14ac:dyDescent="0.2">
      <c r="A106" s="22" t="s">
        <v>147</v>
      </c>
      <c r="B106" s="22" t="s">
        <v>45</v>
      </c>
      <c r="C106" s="23">
        <v>2019</v>
      </c>
      <c r="D106" s="24">
        <v>277.41280798299999</v>
      </c>
    </row>
    <row r="107" spans="1:4" ht="16" hidden="1" x14ac:dyDescent="0.2">
      <c r="A107" s="22" t="s">
        <v>148</v>
      </c>
      <c r="B107" s="22" t="s">
        <v>45</v>
      </c>
      <c r="C107" s="23">
        <v>2019</v>
      </c>
      <c r="D107" s="24">
        <v>1.5963488056099999</v>
      </c>
    </row>
    <row r="108" spans="1:4" ht="16" hidden="1" x14ac:dyDescent="0.2">
      <c r="A108" s="22" t="s">
        <v>149</v>
      </c>
      <c r="B108" s="22" t="s">
        <v>45</v>
      </c>
      <c r="C108" s="23">
        <v>2019</v>
      </c>
      <c r="D108" s="24">
        <v>8.0143696065400007</v>
      </c>
    </row>
    <row r="109" spans="1:4" ht="16" hidden="1" x14ac:dyDescent="0.2">
      <c r="A109" s="22" t="s">
        <v>150</v>
      </c>
      <c r="B109" s="22" t="s">
        <v>45</v>
      </c>
      <c r="C109" s="23">
        <v>2019</v>
      </c>
      <c r="D109" s="24">
        <v>212.437827427</v>
      </c>
    </row>
    <row r="110" spans="1:4" ht="16" hidden="1" x14ac:dyDescent="0.2">
      <c r="A110" s="22" t="s">
        <v>151</v>
      </c>
      <c r="B110" s="22" t="s">
        <v>45</v>
      </c>
      <c r="C110" s="23">
        <v>2019</v>
      </c>
      <c r="D110" s="24">
        <v>0.55989395490799998</v>
      </c>
    </row>
    <row r="111" spans="1:4" ht="16" hidden="1" x14ac:dyDescent="0.2">
      <c r="A111" s="22" t="s">
        <v>152</v>
      </c>
      <c r="B111" s="22" t="s">
        <v>45</v>
      </c>
      <c r="C111" s="23">
        <v>2019</v>
      </c>
      <c r="D111" s="24">
        <v>11.354249982700001</v>
      </c>
    </row>
    <row r="112" spans="1:4" ht="16" hidden="1" x14ac:dyDescent="0.2">
      <c r="A112" s="22" t="s">
        <v>153</v>
      </c>
      <c r="B112" s="22" t="s">
        <v>45</v>
      </c>
      <c r="C112" s="23">
        <v>2019</v>
      </c>
      <c r="D112" s="24">
        <v>16.4861845607</v>
      </c>
    </row>
    <row r="113" spans="1:4" ht="16" hidden="1" x14ac:dyDescent="0.2">
      <c r="A113" s="22" t="s">
        <v>154</v>
      </c>
      <c r="B113" s="22" t="s">
        <v>45</v>
      </c>
      <c r="C113" s="23">
        <v>2019</v>
      </c>
      <c r="D113" s="24">
        <v>9.148021</v>
      </c>
    </row>
    <row r="114" spans="1:4" ht="16" hidden="1" x14ac:dyDescent="0.2">
      <c r="A114" s="22" t="s">
        <v>155</v>
      </c>
      <c r="B114" s="22" t="s">
        <v>45</v>
      </c>
      <c r="C114" s="23">
        <v>2019</v>
      </c>
      <c r="D114" s="24">
        <v>5.80830309115</v>
      </c>
    </row>
    <row r="115" spans="1:4" ht="16" hidden="1" x14ac:dyDescent="0.2">
      <c r="A115" s="22" t="s">
        <v>156</v>
      </c>
      <c r="B115" s="22" t="s">
        <v>45</v>
      </c>
      <c r="C115" s="23">
        <v>2019</v>
      </c>
      <c r="D115" s="24">
        <v>898.732633631</v>
      </c>
    </row>
    <row r="116" spans="1:4" ht="16" hidden="1" x14ac:dyDescent="0.2">
      <c r="A116" s="22" t="s">
        <v>157</v>
      </c>
      <c r="B116" s="22" t="s">
        <v>45</v>
      </c>
      <c r="C116" s="23">
        <v>2019</v>
      </c>
      <c r="D116" s="24">
        <v>0.33107134239000002</v>
      </c>
    </row>
    <row r="117" spans="1:4" ht="16" hidden="1" x14ac:dyDescent="0.2">
      <c r="A117" s="22" t="s">
        <v>158</v>
      </c>
      <c r="B117" s="22" t="s">
        <v>45</v>
      </c>
      <c r="C117" s="23">
        <v>2019</v>
      </c>
      <c r="D117" s="24">
        <v>3.9470236448899998</v>
      </c>
    </row>
    <row r="118" spans="1:4" ht="16" hidden="1" x14ac:dyDescent="0.2">
      <c r="A118" s="22" t="s">
        <v>159</v>
      </c>
      <c r="B118" s="22" t="s">
        <v>45</v>
      </c>
      <c r="C118" s="23">
        <v>2019</v>
      </c>
      <c r="D118" s="24">
        <v>23.547195091999999</v>
      </c>
    </row>
    <row r="119" spans="1:4" ht="16" hidden="1" x14ac:dyDescent="0.2">
      <c r="A119" s="22" t="s">
        <v>160</v>
      </c>
      <c r="B119" s="22" t="s">
        <v>45</v>
      </c>
      <c r="C119" s="23">
        <v>2019</v>
      </c>
      <c r="D119" s="24">
        <v>401.70661261700002</v>
      </c>
    </row>
    <row r="120" spans="1:4" ht="16" hidden="1" x14ac:dyDescent="0.2">
      <c r="A120" s="22" t="s">
        <v>161</v>
      </c>
      <c r="B120" s="22" t="s">
        <v>45</v>
      </c>
      <c r="C120" s="23">
        <v>2019</v>
      </c>
      <c r="D120" s="24">
        <v>7.1174315154699999</v>
      </c>
    </row>
    <row r="121" spans="1:4" ht="16" hidden="1" x14ac:dyDescent="0.2">
      <c r="A121" s="22" t="s">
        <v>162</v>
      </c>
      <c r="B121" s="22" t="s">
        <v>45</v>
      </c>
      <c r="C121" s="23">
        <v>2019</v>
      </c>
      <c r="D121" s="24">
        <v>1.0862784239900001</v>
      </c>
    </row>
    <row r="122" spans="1:4" ht="16" hidden="1" x14ac:dyDescent="0.2">
      <c r="A122" s="22" t="s">
        <v>163</v>
      </c>
      <c r="B122" s="22" t="s">
        <v>45</v>
      </c>
      <c r="C122" s="23">
        <v>2019</v>
      </c>
      <c r="D122" s="24">
        <v>33.884594985699998</v>
      </c>
    </row>
    <row r="123" spans="1:4" ht="16" hidden="1" x14ac:dyDescent="0.2">
      <c r="A123" s="22" t="s">
        <v>164</v>
      </c>
      <c r="B123" s="22" t="s">
        <v>45</v>
      </c>
      <c r="C123" s="23">
        <v>2019</v>
      </c>
      <c r="D123" s="24">
        <v>0.76276900000000003</v>
      </c>
    </row>
    <row r="124" spans="1:4" ht="16" hidden="1" x14ac:dyDescent="0.2">
      <c r="A124" s="22" t="s">
        <v>165</v>
      </c>
      <c r="B124" s="22" t="s">
        <v>45</v>
      </c>
      <c r="C124" s="23">
        <v>2019</v>
      </c>
      <c r="D124" s="24">
        <v>1.4075759999999999</v>
      </c>
    </row>
    <row r="125" spans="1:4" ht="16" hidden="1" x14ac:dyDescent="0.2">
      <c r="A125" s="22" t="s">
        <v>166</v>
      </c>
      <c r="B125" s="22" t="s">
        <v>45</v>
      </c>
      <c r="C125" s="23">
        <v>2019</v>
      </c>
      <c r="D125" s="24">
        <v>11.2210665111</v>
      </c>
    </row>
    <row r="126" spans="1:4" ht="16" hidden="1" x14ac:dyDescent="0.2">
      <c r="A126" s="22" t="s">
        <v>167</v>
      </c>
      <c r="B126" s="22" t="s">
        <v>45</v>
      </c>
      <c r="C126" s="23">
        <v>2019</v>
      </c>
      <c r="D126" s="24">
        <v>253.79969538399999</v>
      </c>
    </row>
    <row r="127" spans="1:4" ht="16" hidden="1" x14ac:dyDescent="0.2">
      <c r="A127" s="22" t="s">
        <v>168</v>
      </c>
      <c r="B127" s="22" t="s">
        <v>45</v>
      </c>
      <c r="C127" s="23">
        <v>2019</v>
      </c>
      <c r="D127" s="24">
        <v>135.13643909699999</v>
      </c>
    </row>
    <row r="128" spans="1:4" ht="16" hidden="1" x14ac:dyDescent="0.2">
      <c r="A128" s="22" t="s">
        <v>169</v>
      </c>
      <c r="B128" s="22" t="s">
        <v>45</v>
      </c>
      <c r="C128" s="23">
        <v>2019</v>
      </c>
      <c r="D128" s="24">
        <v>18.274125910599999</v>
      </c>
    </row>
    <row r="129" spans="1:4" ht="16" hidden="1" x14ac:dyDescent="0.2">
      <c r="A129" s="22" t="s">
        <v>170</v>
      </c>
      <c r="B129" s="22" t="s">
        <v>45</v>
      </c>
      <c r="C129" s="23">
        <v>2019</v>
      </c>
      <c r="D129" s="24">
        <v>9.4805279999999996</v>
      </c>
    </row>
    <row r="130" spans="1:4" ht="16" hidden="1" x14ac:dyDescent="0.2">
      <c r="A130" s="22" t="s">
        <v>171</v>
      </c>
      <c r="B130" s="22" t="s">
        <v>45</v>
      </c>
      <c r="C130" s="23">
        <v>2019</v>
      </c>
      <c r="D130" s="24">
        <v>0.206942462947</v>
      </c>
    </row>
    <row r="131" spans="1:4" ht="21" x14ac:dyDescent="0.25">
      <c r="A131" s="34" t="s">
        <v>172</v>
      </c>
      <c r="B131" s="34" t="s">
        <v>45</v>
      </c>
      <c r="C131" s="36">
        <v>2019</v>
      </c>
      <c r="D131" s="37">
        <v>35.797677035900001</v>
      </c>
    </row>
    <row r="132" spans="1:4" ht="16" hidden="1" x14ac:dyDescent="0.2">
      <c r="A132" s="22" t="s">
        <v>173</v>
      </c>
      <c r="B132" s="22" t="s">
        <v>45</v>
      </c>
      <c r="C132" s="23">
        <v>2019</v>
      </c>
      <c r="D132" s="24">
        <v>0.81177003769599998</v>
      </c>
    </row>
    <row r="133" spans="1:4" ht="16" hidden="1" x14ac:dyDescent="0.2">
      <c r="A133" s="22" t="s">
        <v>174</v>
      </c>
      <c r="B133" s="22" t="s">
        <v>45</v>
      </c>
      <c r="C133" s="23">
        <v>2019</v>
      </c>
      <c r="D133" s="24">
        <v>0.47886221244600002</v>
      </c>
    </row>
    <row r="134" spans="1:4" ht="16" hidden="1" x14ac:dyDescent="0.2">
      <c r="A134" s="22" t="s">
        <v>175</v>
      </c>
      <c r="B134" s="22" t="s">
        <v>45</v>
      </c>
      <c r="C134" s="23">
        <v>2019</v>
      </c>
      <c r="D134" s="24">
        <v>2.1074612511600002</v>
      </c>
    </row>
    <row r="135" spans="1:4" ht="16" hidden="1" x14ac:dyDescent="0.2">
      <c r="A135" s="22" t="s">
        <v>176</v>
      </c>
      <c r="B135" s="22" t="s">
        <v>45</v>
      </c>
      <c r="C135" s="23">
        <v>2019</v>
      </c>
      <c r="D135" s="24">
        <v>2551.0402152199999</v>
      </c>
    </row>
    <row r="136" spans="1:4" ht="16" hidden="1" x14ac:dyDescent="0.2">
      <c r="A136" s="22" t="s">
        <v>177</v>
      </c>
      <c r="B136" s="22" t="s">
        <v>45</v>
      </c>
      <c r="C136" s="23">
        <v>2019</v>
      </c>
      <c r="D136" s="24">
        <v>1.7356817450599999</v>
      </c>
    </row>
    <row r="137" spans="1:4" ht="16" hidden="1" x14ac:dyDescent="0.2">
      <c r="A137" s="22" t="s">
        <v>178</v>
      </c>
      <c r="B137" s="22" t="s">
        <v>45</v>
      </c>
      <c r="C137" s="23">
        <v>2019</v>
      </c>
      <c r="D137" s="24">
        <v>19.404986883799999</v>
      </c>
    </row>
    <row r="138" spans="1:4" ht="16" hidden="1" x14ac:dyDescent="0.2">
      <c r="A138" s="22" t="s">
        <v>179</v>
      </c>
      <c r="B138" s="22" t="s">
        <v>45</v>
      </c>
      <c r="C138" s="23">
        <v>2019</v>
      </c>
      <c r="D138" s="24">
        <v>1.713336</v>
      </c>
    </row>
    <row r="139" spans="1:4" ht="16" hidden="1" x14ac:dyDescent="0.2">
      <c r="A139" s="22" t="s">
        <v>180</v>
      </c>
      <c r="B139" s="22" t="s">
        <v>45</v>
      </c>
      <c r="C139" s="23">
        <v>2019</v>
      </c>
      <c r="D139" s="24">
        <v>0.54776800000000003</v>
      </c>
    </row>
    <row r="140" spans="1:4" ht="16" hidden="1" x14ac:dyDescent="0.2">
      <c r="A140" s="22" t="s">
        <v>181</v>
      </c>
      <c r="B140" s="22" t="s">
        <v>45</v>
      </c>
      <c r="C140" s="23">
        <v>2019</v>
      </c>
      <c r="D140" s="24">
        <v>0.91201619088200003</v>
      </c>
    </row>
    <row r="141" spans="1:4" ht="16" hidden="1" x14ac:dyDescent="0.2">
      <c r="A141" s="22" t="s">
        <v>182</v>
      </c>
      <c r="B141" s="22" t="s">
        <v>45</v>
      </c>
      <c r="C141" s="23">
        <v>2019</v>
      </c>
      <c r="D141" s="24">
        <v>2.4035298900300002</v>
      </c>
    </row>
    <row r="142" spans="1:4" ht="16" hidden="1" x14ac:dyDescent="0.2">
      <c r="A142" s="22" t="s">
        <v>183</v>
      </c>
      <c r="B142" s="22" t="s">
        <v>45</v>
      </c>
      <c r="C142" s="23">
        <v>2019</v>
      </c>
      <c r="D142" s="24">
        <v>1.6422249903799999</v>
      </c>
    </row>
    <row r="143" spans="1:4" ht="16" hidden="1" x14ac:dyDescent="0.2">
      <c r="A143" s="22" t="s">
        <v>184</v>
      </c>
      <c r="B143" s="22" t="s">
        <v>45</v>
      </c>
      <c r="C143" s="23">
        <v>2019</v>
      </c>
      <c r="D143" s="24">
        <v>24.823775999999999</v>
      </c>
    </row>
    <row r="144" spans="1:4" ht="16" hidden="1" x14ac:dyDescent="0.2">
      <c r="A144" s="22" t="s">
        <v>185</v>
      </c>
      <c r="B144" s="22" t="s">
        <v>45</v>
      </c>
      <c r="C144" s="23">
        <v>2019</v>
      </c>
      <c r="D144" s="24">
        <v>317.18245495600002</v>
      </c>
    </row>
    <row r="145" spans="1:4" ht="16" hidden="1" x14ac:dyDescent="0.2">
      <c r="A145" s="22" t="s">
        <v>186</v>
      </c>
      <c r="B145" s="22" t="s">
        <v>45</v>
      </c>
      <c r="C145" s="23">
        <v>2019</v>
      </c>
      <c r="D145" s="24">
        <v>1.6626736819800001</v>
      </c>
    </row>
    <row r="146" spans="1:4" ht="16" hidden="1" x14ac:dyDescent="0.2">
      <c r="A146" s="22" t="s">
        <v>187</v>
      </c>
      <c r="B146" s="22" t="s">
        <v>45</v>
      </c>
      <c r="C146" s="23">
        <v>2019</v>
      </c>
      <c r="D146" s="24">
        <v>10.354404668400001</v>
      </c>
    </row>
    <row r="147" spans="1:4" ht="16" hidden="1" x14ac:dyDescent="0.2">
      <c r="A147" s="22" t="s">
        <v>188</v>
      </c>
      <c r="B147" s="22" t="s">
        <v>45</v>
      </c>
      <c r="C147" s="23">
        <v>2019</v>
      </c>
      <c r="D147" s="24">
        <v>1.7694461284</v>
      </c>
    </row>
    <row r="148" spans="1:4" ht="16" hidden="1" x14ac:dyDescent="0.2">
      <c r="A148" s="22" t="s">
        <v>189</v>
      </c>
      <c r="B148" s="22" t="s">
        <v>45</v>
      </c>
      <c r="C148" s="23">
        <v>2019</v>
      </c>
      <c r="D148" s="24">
        <v>239.122759933</v>
      </c>
    </row>
    <row r="149" spans="1:4" ht="16" hidden="1" x14ac:dyDescent="0.2">
      <c r="A149" s="22" t="s">
        <v>190</v>
      </c>
      <c r="B149" s="22" t="s">
        <v>45</v>
      </c>
      <c r="C149" s="23">
        <v>2019</v>
      </c>
      <c r="D149" s="24">
        <v>40.014739354699998</v>
      </c>
    </row>
    <row r="150" spans="1:4" ht="16" hidden="1" x14ac:dyDescent="0.2">
      <c r="A150" s="22" t="s">
        <v>191</v>
      </c>
      <c r="B150" s="22" t="s">
        <v>45</v>
      </c>
      <c r="C150" s="23">
        <v>2019</v>
      </c>
      <c r="D150" s="24">
        <v>8.0238192070099998</v>
      </c>
    </row>
    <row r="151" spans="1:4" ht="16" hidden="1" x14ac:dyDescent="0.2">
      <c r="A151" s="22" t="s">
        <v>192</v>
      </c>
      <c r="B151" s="22" t="s">
        <v>45</v>
      </c>
      <c r="C151" s="23">
        <v>2019</v>
      </c>
      <c r="D151" s="24">
        <v>2649.0305251499999</v>
      </c>
    </row>
    <row r="152" spans="1:4" ht="16" hidden="1" x14ac:dyDescent="0.2">
      <c r="A152" s="22" t="s">
        <v>193</v>
      </c>
      <c r="B152" s="22" t="s">
        <v>45</v>
      </c>
      <c r="C152" s="23">
        <v>2019</v>
      </c>
      <c r="D152" s="24">
        <v>0.87547519762000003</v>
      </c>
    </row>
    <row r="153" spans="1:4" ht="16" hidden="1" x14ac:dyDescent="0.2">
      <c r="A153" s="22" t="s">
        <v>194</v>
      </c>
      <c r="B153" s="22" t="s">
        <v>45</v>
      </c>
      <c r="C153" s="23">
        <v>2019</v>
      </c>
      <c r="D153" s="24">
        <v>0.51349100000000003</v>
      </c>
    </row>
    <row r="154" spans="1:4" ht="16" hidden="1" x14ac:dyDescent="0.2">
      <c r="A154" s="22" t="s">
        <v>195</v>
      </c>
      <c r="B154" s="22" t="s">
        <v>45</v>
      </c>
      <c r="C154" s="23">
        <v>2019</v>
      </c>
      <c r="D154" s="24">
        <v>0.54622800000000005</v>
      </c>
    </row>
    <row r="155" spans="1:4" ht="16" hidden="1" x14ac:dyDescent="0.2">
      <c r="A155" s="22" t="s">
        <v>196</v>
      </c>
      <c r="B155" s="22" t="s">
        <v>45</v>
      </c>
      <c r="C155" s="23">
        <v>2019</v>
      </c>
      <c r="D155" s="24">
        <v>6.9770496462400002</v>
      </c>
    </row>
    <row r="156" spans="1:4" ht="16" hidden="1" x14ac:dyDescent="0.2">
      <c r="A156" s="22" t="s">
        <v>197</v>
      </c>
      <c r="B156" s="22" t="s">
        <v>45</v>
      </c>
      <c r="C156" s="23">
        <v>2019</v>
      </c>
      <c r="D156" s="24">
        <v>6.6525659124900001</v>
      </c>
    </row>
    <row r="157" spans="1:4" ht="16" hidden="1" x14ac:dyDescent="0.2">
      <c r="A157" s="22" t="s">
        <v>198</v>
      </c>
      <c r="B157" s="22" t="s">
        <v>45</v>
      </c>
      <c r="C157" s="23">
        <v>2019</v>
      </c>
      <c r="D157" s="24">
        <v>0.60790299999999997</v>
      </c>
    </row>
    <row r="158" spans="1:4" ht="16" hidden="1" x14ac:dyDescent="0.2">
      <c r="A158" s="22" t="s">
        <v>199</v>
      </c>
      <c r="B158" s="22" t="s">
        <v>45</v>
      </c>
      <c r="C158" s="23">
        <v>2019</v>
      </c>
      <c r="D158" s="24">
        <v>50.430349094900002</v>
      </c>
    </row>
    <row r="159" spans="1:4" ht="16" hidden="1" x14ac:dyDescent="0.2">
      <c r="A159" s="22" t="s">
        <v>200</v>
      </c>
      <c r="B159" s="22" t="s">
        <v>45</v>
      </c>
      <c r="C159" s="23">
        <v>2019</v>
      </c>
      <c r="D159" s="24">
        <v>1.94958591916</v>
      </c>
    </row>
    <row r="160" spans="1:4" ht="16" hidden="1" x14ac:dyDescent="0.2">
      <c r="A160" s="22" t="s">
        <v>201</v>
      </c>
      <c r="B160" s="22" t="s">
        <v>45</v>
      </c>
      <c r="C160" s="23">
        <v>2019</v>
      </c>
      <c r="D160" s="24">
        <v>1.94334342661</v>
      </c>
    </row>
    <row r="161" spans="1:4" ht="16" hidden="1" x14ac:dyDescent="0.2">
      <c r="A161" s="22" t="s">
        <v>202</v>
      </c>
      <c r="B161" s="22" t="s">
        <v>45</v>
      </c>
      <c r="C161" s="23">
        <v>2019</v>
      </c>
      <c r="D161" s="24">
        <v>1.5443908709800001</v>
      </c>
    </row>
    <row r="162" spans="1:4" ht="16" hidden="1" x14ac:dyDescent="0.2">
      <c r="A162" s="22" t="s">
        <v>203</v>
      </c>
      <c r="B162" s="22" t="s">
        <v>45</v>
      </c>
      <c r="C162" s="23">
        <v>2019</v>
      </c>
      <c r="D162" s="24">
        <v>10.500846856800001</v>
      </c>
    </row>
    <row r="163" spans="1:4" ht="16" hidden="1" x14ac:dyDescent="0.2">
      <c r="A163" s="22" t="s">
        <v>204</v>
      </c>
      <c r="B163" s="22" t="s">
        <v>45</v>
      </c>
      <c r="C163" s="23">
        <v>2019</v>
      </c>
      <c r="D163" s="24">
        <v>2.7487009093600001</v>
      </c>
    </row>
    <row r="164" spans="1:4" ht="16" hidden="1" x14ac:dyDescent="0.2">
      <c r="A164" s="22" t="s">
        <v>205</v>
      </c>
      <c r="B164" s="22" t="s">
        <v>45</v>
      </c>
      <c r="C164" s="23">
        <v>2019</v>
      </c>
      <c r="D164" s="24">
        <v>8.6204210000000003</v>
      </c>
    </row>
    <row r="165" spans="1:4" ht="16" hidden="1" x14ac:dyDescent="0.2">
      <c r="A165" s="22" t="s">
        <v>206</v>
      </c>
      <c r="B165" s="22" t="s">
        <v>45</v>
      </c>
      <c r="C165" s="23">
        <v>2019</v>
      </c>
      <c r="D165" s="24">
        <v>1.1258330000000001</v>
      </c>
    </row>
    <row r="166" spans="1:4" ht="16" hidden="1" x14ac:dyDescent="0.2">
      <c r="A166" s="22" t="s">
        <v>207</v>
      </c>
      <c r="B166" s="22" t="s">
        <v>45</v>
      </c>
      <c r="C166" s="23">
        <v>2019</v>
      </c>
      <c r="D166" s="24">
        <v>2.3514373614899999</v>
      </c>
    </row>
    <row r="167" spans="1:4" ht="16" hidden="1" x14ac:dyDescent="0.2">
      <c r="A167" s="22" t="s">
        <v>208</v>
      </c>
      <c r="B167" s="22" t="s">
        <v>45</v>
      </c>
      <c r="C167" s="23">
        <v>2019</v>
      </c>
      <c r="D167" s="24">
        <v>929.18966265100005</v>
      </c>
    </row>
    <row r="168" spans="1:4" ht="16" hidden="1" x14ac:dyDescent="0.2">
      <c r="A168" s="22" t="s">
        <v>209</v>
      </c>
      <c r="B168" s="22" t="s">
        <v>45</v>
      </c>
      <c r="C168" s="23">
        <v>2019</v>
      </c>
      <c r="D168" s="24">
        <v>12.573632462500001</v>
      </c>
    </row>
    <row r="169" spans="1:4" ht="16" hidden="1" x14ac:dyDescent="0.2">
      <c r="A169" s="22" t="s">
        <v>210</v>
      </c>
      <c r="B169" s="22" t="s">
        <v>45</v>
      </c>
      <c r="C169" s="23">
        <v>2019</v>
      </c>
      <c r="D169" s="24">
        <v>0.42064399182200002</v>
      </c>
    </row>
    <row r="170" spans="1:4" ht="16" hidden="1" x14ac:dyDescent="0.2">
      <c r="A170" s="22" t="s">
        <v>211</v>
      </c>
      <c r="B170" s="22" t="s">
        <v>45</v>
      </c>
      <c r="C170" s="23">
        <v>2019</v>
      </c>
      <c r="D170" s="24">
        <v>238.71139332000001</v>
      </c>
    </row>
    <row r="171" spans="1:4" ht="16" hidden="1" x14ac:dyDescent="0.2">
      <c r="A171" s="22" t="s">
        <v>212</v>
      </c>
      <c r="B171" s="22" t="s">
        <v>45</v>
      </c>
      <c r="C171" s="23">
        <v>2019</v>
      </c>
      <c r="D171" s="24">
        <v>1.67115075806</v>
      </c>
    </row>
    <row r="172" spans="1:4" ht="16" hidden="1" x14ac:dyDescent="0.2">
      <c r="A172" s="22" t="s">
        <v>213</v>
      </c>
      <c r="B172" s="22" t="s">
        <v>45</v>
      </c>
      <c r="C172" s="23">
        <v>2019</v>
      </c>
      <c r="D172" s="24">
        <v>4.2990560207400002</v>
      </c>
    </row>
    <row r="173" spans="1:4" ht="16" hidden="1" x14ac:dyDescent="0.2">
      <c r="A173" s="22" t="s">
        <v>214</v>
      </c>
      <c r="B173" s="22" t="s">
        <v>45</v>
      </c>
      <c r="C173" s="23">
        <v>2019</v>
      </c>
      <c r="D173" s="24">
        <v>0.86672966827200004</v>
      </c>
    </row>
    <row r="174" spans="1:4" ht="16" hidden="1" x14ac:dyDescent="0.2">
      <c r="A174" s="22" t="s">
        <v>215</v>
      </c>
      <c r="B174" s="22" t="s">
        <v>45</v>
      </c>
      <c r="C174" s="23">
        <v>2019</v>
      </c>
      <c r="D174" s="24">
        <v>1.840625</v>
      </c>
    </row>
    <row r="175" spans="1:4" ht="16" hidden="1" x14ac:dyDescent="0.2">
      <c r="A175" s="22" t="s">
        <v>216</v>
      </c>
      <c r="B175" s="22" t="s">
        <v>45</v>
      </c>
      <c r="C175" s="23">
        <v>2019</v>
      </c>
      <c r="D175" s="24">
        <v>1.02636569038</v>
      </c>
    </row>
    <row r="176" spans="1:4" ht="16" hidden="1" x14ac:dyDescent="0.2">
      <c r="A176" s="22" t="s">
        <v>217</v>
      </c>
      <c r="B176" s="22" t="s">
        <v>45</v>
      </c>
      <c r="C176" s="23">
        <v>2019</v>
      </c>
      <c r="D176" s="24">
        <v>1.3059942981699999</v>
      </c>
    </row>
    <row r="177" spans="1:4" ht="16" hidden="1" x14ac:dyDescent="0.2">
      <c r="A177" s="22" t="s">
        <v>218</v>
      </c>
      <c r="B177" s="22" t="s">
        <v>45</v>
      </c>
      <c r="C177" s="23">
        <v>2019</v>
      </c>
      <c r="D177" s="24">
        <v>1299.4597814599999</v>
      </c>
    </row>
    <row r="178" spans="1:4" ht="16" hidden="1" x14ac:dyDescent="0.2">
      <c r="A178" s="22" t="s">
        <v>219</v>
      </c>
      <c r="B178" s="22" t="s">
        <v>45</v>
      </c>
      <c r="C178" s="23">
        <v>2019</v>
      </c>
      <c r="D178" s="24">
        <v>7.0694929507299999</v>
      </c>
    </row>
    <row r="179" spans="1:4" ht="16" hidden="1" x14ac:dyDescent="0.2">
      <c r="A179" s="22" t="s">
        <v>220</v>
      </c>
      <c r="B179" s="22" t="s">
        <v>45</v>
      </c>
      <c r="C179" s="23">
        <v>2019</v>
      </c>
      <c r="D179" s="24">
        <v>2.2585030759600002</v>
      </c>
    </row>
    <row r="180" spans="1:4" ht="16" hidden="1" x14ac:dyDescent="0.2">
      <c r="A180" s="22" t="s">
        <v>221</v>
      </c>
      <c r="B180" s="22" t="s">
        <v>45</v>
      </c>
      <c r="C180" s="23">
        <v>2019</v>
      </c>
      <c r="D180" s="24">
        <v>0.66417499999999996</v>
      </c>
    </row>
    <row r="181" spans="1:4" ht="21" x14ac:dyDescent="0.25">
      <c r="A181" s="34" t="s">
        <v>222</v>
      </c>
      <c r="B181" s="22" t="s">
        <v>45</v>
      </c>
      <c r="C181" s="23">
        <v>2019</v>
      </c>
      <c r="D181" s="24">
        <v>1</v>
      </c>
    </row>
    <row r="182" spans="1:4" ht="16" x14ac:dyDescent="0.2">
      <c r="A182" s="22" t="s">
        <v>223</v>
      </c>
      <c r="B182" s="22" t="s">
        <v>45</v>
      </c>
      <c r="C182" s="23">
        <v>2019</v>
      </c>
      <c r="D182" s="24">
        <v>25.351298875000001</v>
      </c>
    </row>
    <row r="183" spans="1:4" ht="16" x14ac:dyDescent="0.2">
      <c r="A183" s="22" t="s">
        <v>224</v>
      </c>
      <c r="B183" s="22" t="s">
        <v>45</v>
      </c>
      <c r="C183" s="23">
        <v>2019</v>
      </c>
      <c r="D183" s="24">
        <v>2085.5484577900002</v>
      </c>
    </row>
    <row r="184" spans="1:4" ht="16" x14ac:dyDescent="0.2">
      <c r="A184" s="22" t="s">
        <v>225</v>
      </c>
      <c r="B184" s="22" t="s">
        <v>45</v>
      </c>
      <c r="C184" s="23">
        <v>2019</v>
      </c>
      <c r="D184" s="24">
        <v>108.10485633</v>
      </c>
    </row>
    <row r="185" spans="1:4" ht="21" x14ac:dyDescent="0.25">
      <c r="A185" s="34" t="s">
        <v>226</v>
      </c>
      <c r="B185" s="34" t="s">
        <v>45</v>
      </c>
      <c r="C185" s="36">
        <v>2019</v>
      </c>
      <c r="D185" s="37">
        <v>7453.5681888199997</v>
      </c>
    </row>
    <row r="186" spans="1:4" ht="16" x14ac:dyDescent="0.2">
      <c r="A186" s="22" t="s">
        <v>227</v>
      </c>
      <c r="B186" s="22" t="s">
        <v>45</v>
      </c>
      <c r="C186" s="23">
        <v>2019</v>
      </c>
      <c r="D186" s="24">
        <v>0.56055060212300001</v>
      </c>
    </row>
    <row r="187" spans="1:4" ht="16" x14ac:dyDescent="0.2">
      <c r="A187" s="22" t="s">
        <v>228</v>
      </c>
      <c r="B187" s="22" t="s">
        <v>45</v>
      </c>
      <c r="C187" s="23">
        <v>2019</v>
      </c>
      <c r="D187" s="24">
        <v>4.6416574341199999</v>
      </c>
    </row>
    <row r="188" spans="1:4" ht="16" x14ac:dyDescent="0.2">
      <c r="A188" s="22" t="s">
        <v>229</v>
      </c>
      <c r="B188" s="22" t="s">
        <v>45</v>
      </c>
      <c r="C188" s="23">
        <v>2019</v>
      </c>
      <c r="D188" s="24">
        <v>0.49434826721399999</v>
      </c>
    </row>
  </sheetData>
  <sheetProtection sheet="1" objects="1" scenarios="1"/>
  <mergeCells count="1">
    <mergeCell ref="A1:D1"/>
  </mergeCells>
  <conditionalFormatting sqref="A3:D188">
    <cfRule type="expression" dxfId="38" priority="1">
      <formula>$A3="Hong Kong"</formula>
    </cfRule>
    <cfRule type="expression" dxfId="37" priority="2">
      <formula>$A3="Kazakhstan"</formula>
    </cfRule>
    <cfRule type="expression" dxfId="36" priority="3">
      <formula>$A3="Pakistan"</formula>
    </cfRule>
    <cfRule type="expression" dxfId="35" priority="4">
      <formula>$A3="Vietnam"</formula>
    </cfRule>
    <cfRule type="expression" dxfId="34" priority="5">
      <formula>$A3="United States"</formula>
    </cfRule>
    <cfRule type="expression" dxfId="33" priority="6">
      <formula>$A3="Hong Kong SAR, China"</formula>
    </cfRule>
  </conditionalFormatting>
  <dataValidations count="2">
    <dataValidation type="textLength" operator="equal" allowBlank="1" showInputMessage="1" showErrorMessage="1" error="No Data Entry Allow in this table" sqref="A3:D75" xr:uid="{128B2582-FB98-478B-80BC-773B532BECE3}">
      <formula1>0</formula1>
    </dataValidation>
    <dataValidation type="textLength" operator="equal" allowBlank="1" showInputMessage="1" showErrorMessage="1" error="No Entry Allowed" sqref="A76:D188" xr:uid="{26E6701A-1559-419A-A8ED-48F76318408E}">
      <formula1>0</formula1>
    </dataValidation>
  </dataValidations>
  <hyperlinks>
    <hyperlink ref="H2" r:id="rId1" xr:uid="{B24CD663-D1A2-4BD4-A8A7-9276A6B5FC4F}"/>
  </hyperlinks>
  <pageMargins left="0.7" right="0.7" top="0.75" bottom="0.75" header="0.3" footer="0.3"/>
  <pageSetup paperSize="9" scale="68" fitToHeight="0" orientation="portrait" cellComments="atEnd" r:id="rId2"/>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DA2BD-BF41-401A-91AD-8BDACAB3F535}">
  <sheetPr codeName="Sheet4"/>
  <dimension ref="A1:X63"/>
  <sheetViews>
    <sheetView zoomScale="92" zoomScaleNormal="40" workbookViewId="0">
      <selection activeCell="E36" sqref="E36"/>
    </sheetView>
  </sheetViews>
  <sheetFormatPr baseColWidth="10" defaultColWidth="8.6640625" defaultRowHeight="14" x14ac:dyDescent="0.15"/>
  <cols>
    <col min="1" max="1" width="21.5" bestFit="1" customWidth="1"/>
    <col min="2" max="2" width="22.6640625" bestFit="1" customWidth="1"/>
    <col min="3" max="3" width="27.33203125" bestFit="1" customWidth="1"/>
    <col min="4" max="4" width="10.6640625" bestFit="1" customWidth="1"/>
    <col min="5" max="5" width="16" customWidth="1"/>
  </cols>
  <sheetData>
    <row r="1" spans="1:4" ht="19" x14ac:dyDescent="0.2">
      <c r="A1" s="69" t="s">
        <v>230</v>
      </c>
      <c r="B1" s="69"/>
      <c r="C1" s="69"/>
      <c r="D1" s="69"/>
    </row>
    <row r="3" spans="1:4" x14ac:dyDescent="0.15">
      <c r="A3" s="14" t="s">
        <v>231</v>
      </c>
      <c r="B3" t="s">
        <v>232</v>
      </c>
      <c r="C3" t="s">
        <v>233</v>
      </c>
      <c r="D3" t="s">
        <v>234</v>
      </c>
    </row>
    <row r="4" spans="1:4" x14ac:dyDescent="0.15">
      <c r="A4" s="15" t="s">
        <v>24</v>
      </c>
      <c r="B4">
        <v>151.61000000000001</v>
      </c>
      <c r="C4">
        <v>138.09</v>
      </c>
      <c r="D4">
        <v>176.06</v>
      </c>
    </row>
    <row r="5" spans="1:4" x14ac:dyDescent="0.15">
      <c r="A5" s="15" t="s">
        <v>130</v>
      </c>
      <c r="B5">
        <v>70.569999999999993</v>
      </c>
      <c r="C5">
        <v>30.55</v>
      </c>
      <c r="D5">
        <v>16.34</v>
      </c>
    </row>
    <row r="6" spans="1:4" x14ac:dyDescent="0.15">
      <c r="A6" s="15" t="s">
        <v>172</v>
      </c>
      <c r="B6">
        <v>70.19</v>
      </c>
      <c r="C6">
        <v>31.72</v>
      </c>
      <c r="D6">
        <v>31.55</v>
      </c>
    </row>
    <row r="7" spans="1:4" x14ac:dyDescent="0.15">
      <c r="A7" s="15" t="s">
        <v>222</v>
      </c>
      <c r="B7">
        <v>123.83</v>
      </c>
      <c r="C7">
        <v>179.52</v>
      </c>
      <c r="D7">
        <v>272.75</v>
      </c>
    </row>
    <row r="8" spans="1:4" x14ac:dyDescent="0.15">
      <c r="A8" s="15" t="s">
        <v>226</v>
      </c>
      <c r="B8">
        <v>73.290000000000006</v>
      </c>
      <c r="C8">
        <v>31.42</v>
      </c>
      <c r="D8">
        <v>28.06</v>
      </c>
    </row>
    <row r="9" spans="1:4" x14ac:dyDescent="0.15">
      <c r="A9" s="15" t="s">
        <v>235</v>
      </c>
      <c r="B9">
        <v>489.49</v>
      </c>
      <c r="C9">
        <v>411.3</v>
      </c>
      <c r="D9">
        <v>524.76</v>
      </c>
    </row>
    <row r="12" spans="1:4" x14ac:dyDescent="0.15">
      <c r="A12" s="14" t="s">
        <v>231</v>
      </c>
      <c r="B12" t="s">
        <v>236</v>
      </c>
      <c r="C12" t="s">
        <v>237</v>
      </c>
    </row>
    <row r="13" spans="1:4" x14ac:dyDescent="0.15">
      <c r="A13" s="15" t="s">
        <v>24</v>
      </c>
      <c r="B13" s="7">
        <v>0.42299999999999999</v>
      </c>
      <c r="C13">
        <v>48984</v>
      </c>
    </row>
    <row r="14" spans="1:4" x14ac:dyDescent="0.15">
      <c r="A14" s="15" t="s">
        <v>130</v>
      </c>
      <c r="B14" s="7">
        <v>0.109</v>
      </c>
      <c r="C14">
        <v>11421</v>
      </c>
    </row>
    <row r="15" spans="1:4" x14ac:dyDescent="0.15">
      <c r="A15" s="15" t="s">
        <v>172</v>
      </c>
      <c r="B15" s="7">
        <v>0.14000000000000001</v>
      </c>
      <c r="C15">
        <v>1597</v>
      </c>
    </row>
    <row r="16" spans="1:4" x14ac:dyDescent="0.15">
      <c r="A16" s="15" t="s">
        <v>222</v>
      </c>
      <c r="B16" s="7">
        <v>4.2000000000000003E-2</v>
      </c>
      <c r="C16">
        <v>80410</v>
      </c>
    </row>
    <row r="17" spans="1:24" x14ac:dyDescent="0.15">
      <c r="A17" s="15" t="s">
        <v>226</v>
      </c>
      <c r="B17" s="7">
        <v>0.29299999999999998</v>
      </c>
      <c r="C17">
        <v>4320</v>
      </c>
    </row>
    <row r="18" spans="1:24" x14ac:dyDescent="0.15">
      <c r="A18" s="15" t="s">
        <v>235</v>
      </c>
      <c r="B18">
        <v>1.0069999999999999</v>
      </c>
      <c r="C18">
        <v>146732</v>
      </c>
    </row>
    <row r="21" spans="1:24" x14ac:dyDescent="0.15">
      <c r="A21" s="14" t="s">
        <v>231</v>
      </c>
      <c r="B21" t="s">
        <v>238</v>
      </c>
    </row>
    <row r="22" spans="1:24" x14ac:dyDescent="0.15">
      <c r="A22" s="15" t="s">
        <v>24</v>
      </c>
      <c r="B22">
        <v>97.4</v>
      </c>
    </row>
    <row r="23" spans="1:24" x14ac:dyDescent="0.15">
      <c r="A23" s="15" t="s">
        <v>130</v>
      </c>
      <c r="B23">
        <v>86.9</v>
      </c>
    </row>
    <row r="24" spans="1:24" x14ac:dyDescent="0.15">
      <c r="A24" s="15" t="s">
        <v>172</v>
      </c>
      <c r="B24">
        <v>53.1</v>
      </c>
    </row>
    <row r="25" spans="1:24" x14ac:dyDescent="0.15">
      <c r="A25" s="15" t="s">
        <v>222</v>
      </c>
      <c r="B25">
        <v>95.2</v>
      </c>
      <c r="X25" t="s">
        <v>239</v>
      </c>
    </row>
    <row r="26" spans="1:24" x14ac:dyDescent="0.15">
      <c r="A26" s="15" t="s">
        <v>226</v>
      </c>
      <c r="B26">
        <v>69.099999999999994</v>
      </c>
    </row>
    <row r="27" spans="1:24" x14ac:dyDescent="0.15">
      <c r="A27" s="15" t="s">
        <v>235</v>
      </c>
      <c r="B27">
        <v>401.7</v>
      </c>
    </row>
    <row r="30" spans="1:24" x14ac:dyDescent="0.15">
      <c r="A30" s="14" t="s">
        <v>231</v>
      </c>
      <c r="B30" t="s">
        <v>13</v>
      </c>
    </row>
    <row r="31" spans="1:24" x14ac:dyDescent="0.15">
      <c r="A31" s="15" t="s">
        <v>24</v>
      </c>
      <c r="B31">
        <v>254.7</v>
      </c>
    </row>
    <row r="32" spans="1:24" x14ac:dyDescent="0.15">
      <c r="A32" s="15" t="s">
        <v>130</v>
      </c>
      <c r="B32">
        <v>63.28</v>
      </c>
    </row>
    <row r="33" spans="1:3" x14ac:dyDescent="0.15">
      <c r="A33" s="15" t="s">
        <v>172</v>
      </c>
      <c r="B33">
        <v>13.84</v>
      </c>
    </row>
    <row r="34" spans="1:3" x14ac:dyDescent="0.15">
      <c r="A34" s="15" t="s">
        <v>222</v>
      </c>
      <c r="B34">
        <v>203.81</v>
      </c>
    </row>
    <row r="35" spans="1:3" x14ac:dyDescent="0.15">
      <c r="A35" s="15" t="s">
        <v>226</v>
      </c>
      <c r="B35">
        <v>78.34</v>
      </c>
    </row>
    <row r="36" spans="1:3" x14ac:dyDescent="0.15">
      <c r="A36" s="15" t="s">
        <v>235</v>
      </c>
      <c r="B36">
        <v>613.97</v>
      </c>
    </row>
    <row r="39" spans="1:3" x14ac:dyDescent="0.15">
      <c r="A39" s="14" t="s">
        <v>231</v>
      </c>
      <c r="B39" t="s">
        <v>240</v>
      </c>
      <c r="C39" t="s">
        <v>241</v>
      </c>
    </row>
    <row r="40" spans="1:3" x14ac:dyDescent="0.15">
      <c r="A40" s="15" t="s">
        <v>24</v>
      </c>
      <c r="B40">
        <v>74.2</v>
      </c>
      <c r="C40" s="8">
        <v>0.92</v>
      </c>
    </row>
    <row r="41" spans="1:3" x14ac:dyDescent="0.15">
      <c r="A41" s="15" t="s">
        <v>130</v>
      </c>
      <c r="B41">
        <v>61.1</v>
      </c>
      <c r="C41" s="8">
        <v>0.86</v>
      </c>
    </row>
    <row r="42" spans="1:3" x14ac:dyDescent="0.15">
      <c r="A42" s="15" t="s">
        <v>172</v>
      </c>
      <c r="B42">
        <v>43.1</v>
      </c>
      <c r="C42" s="8">
        <v>0.63</v>
      </c>
    </row>
    <row r="43" spans="1:3" x14ac:dyDescent="0.15">
      <c r="A43" s="15" t="s">
        <v>222</v>
      </c>
      <c r="B43">
        <v>81.3</v>
      </c>
      <c r="C43" s="8">
        <v>0.89</v>
      </c>
    </row>
    <row r="44" spans="1:3" x14ac:dyDescent="0.15">
      <c r="A44" s="15" t="s">
        <v>226</v>
      </c>
      <c r="B44">
        <v>66.3</v>
      </c>
      <c r="C44" s="8">
        <v>0.8</v>
      </c>
    </row>
    <row r="45" spans="1:3" x14ac:dyDescent="0.15">
      <c r="A45" s="15" t="s">
        <v>235</v>
      </c>
      <c r="B45">
        <v>326</v>
      </c>
      <c r="C45">
        <v>4.0999999999999996</v>
      </c>
    </row>
    <row r="48" spans="1:3" x14ac:dyDescent="0.15">
      <c r="A48" s="14" t="s">
        <v>231</v>
      </c>
      <c r="B48" t="s">
        <v>41</v>
      </c>
    </row>
    <row r="49" spans="1:2" x14ac:dyDescent="0.15">
      <c r="A49" s="15" t="s">
        <v>242</v>
      </c>
      <c r="B49" s="6">
        <v>6.1078173582400002</v>
      </c>
    </row>
    <row r="50" spans="1:2" x14ac:dyDescent="0.15">
      <c r="A50" s="15" t="s">
        <v>130</v>
      </c>
      <c r="B50" s="6">
        <v>136.48349998699999</v>
      </c>
    </row>
    <row r="51" spans="1:2" x14ac:dyDescent="0.15">
      <c r="A51" s="15" t="s">
        <v>172</v>
      </c>
      <c r="B51" s="6">
        <v>35.797677035900001</v>
      </c>
    </row>
    <row r="52" spans="1:2" x14ac:dyDescent="0.15">
      <c r="A52" s="15" t="s">
        <v>222</v>
      </c>
      <c r="B52" s="6">
        <v>1</v>
      </c>
    </row>
    <row r="53" spans="1:2" x14ac:dyDescent="0.15">
      <c r="A53" s="15" t="s">
        <v>226</v>
      </c>
      <c r="B53" s="6">
        <v>7453.5681888199997</v>
      </c>
    </row>
    <row r="54" spans="1:2" x14ac:dyDescent="0.15">
      <c r="A54" s="15" t="s">
        <v>235</v>
      </c>
      <c r="B54" s="6">
        <v>7632.9571832011397</v>
      </c>
    </row>
    <row r="57" spans="1:2" x14ac:dyDescent="0.15">
      <c r="A57" s="14" t="s">
        <v>243</v>
      </c>
      <c r="B57" t="s">
        <v>244</v>
      </c>
    </row>
    <row r="58" spans="1:2" x14ac:dyDescent="0.15">
      <c r="A58" s="15" t="s">
        <v>24</v>
      </c>
      <c r="B58" s="8">
        <v>0.16500000000000001</v>
      </c>
    </row>
    <row r="59" spans="1:2" x14ac:dyDescent="0.15">
      <c r="A59" s="15" t="s">
        <v>130</v>
      </c>
      <c r="B59" s="8">
        <v>0.2</v>
      </c>
    </row>
    <row r="60" spans="1:2" x14ac:dyDescent="0.15">
      <c r="A60" s="15" t="s">
        <v>172</v>
      </c>
      <c r="B60" s="8">
        <v>0.28999999999999998</v>
      </c>
    </row>
    <row r="61" spans="1:2" x14ac:dyDescent="0.15">
      <c r="A61" s="15" t="s">
        <v>222</v>
      </c>
      <c r="B61" s="8">
        <v>0.2581</v>
      </c>
    </row>
    <row r="62" spans="1:2" x14ac:dyDescent="0.15">
      <c r="A62" s="15" t="s">
        <v>226</v>
      </c>
      <c r="B62" s="8">
        <v>0.2</v>
      </c>
    </row>
    <row r="63" spans="1:2" x14ac:dyDescent="0.15">
      <c r="A63" s="15" t="s">
        <v>235</v>
      </c>
      <c r="B63" s="8">
        <v>1.1131</v>
      </c>
    </row>
  </sheetData>
  <sheetProtection sheet="1" objects="1" scenarios="1"/>
  <mergeCells count="1">
    <mergeCell ref="A1:D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1849-517A-4E8E-9D15-53885817FC5E}">
  <sheetPr codeName="Sheet5"/>
  <dimension ref="A1:A6"/>
  <sheetViews>
    <sheetView workbookViewId="0">
      <selection activeCell="A6" sqref="A6"/>
    </sheetView>
  </sheetViews>
  <sheetFormatPr baseColWidth="10" defaultColWidth="8.6640625" defaultRowHeight="14" x14ac:dyDescent="0.15"/>
  <cols>
    <col min="1" max="1" width="21.1640625" customWidth="1"/>
  </cols>
  <sheetData>
    <row r="1" spans="1:1" x14ac:dyDescent="0.15">
      <c r="A1" s="16" t="s">
        <v>245</v>
      </c>
    </row>
    <row r="2" spans="1:1" x14ac:dyDescent="0.15">
      <c r="A2" t="s">
        <v>24</v>
      </c>
    </row>
    <row r="3" spans="1:1" x14ac:dyDescent="0.15">
      <c r="A3" t="s">
        <v>226</v>
      </c>
    </row>
    <row r="4" spans="1:1" x14ac:dyDescent="0.15">
      <c r="A4" t="s">
        <v>130</v>
      </c>
    </row>
    <row r="5" spans="1:1" x14ac:dyDescent="0.15">
      <c r="A5" t="s">
        <v>172</v>
      </c>
    </row>
    <row r="6" spans="1:1" x14ac:dyDescent="0.15">
      <c r="A6" t="s">
        <v>222</v>
      </c>
    </row>
  </sheetData>
  <sheetProtection sheet="1" objects="1" scenarios="1"/>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6AF13-3442-488F-9F20-3399635FD591}">
  <sheetPr codeName="Sheet6"/>
  <dimension ref="A1:J18"/>
  <sheetViews>
    <sheetView zoomScaleNormal="100" workbookViewId="0">
      <selection activeCell="C9" sqref="C9"/>
    </sheetView>
  </sheetViews>
  <sheetFormatPr baseColWidth="10" defaultColWidth="8.6640625" defaultRowHeight="14" x14ac:dyDescent="0.15"/>
  <cols>
    <col min="1" max="1" width="31.6640625" customWidth="1"/>
    <col min="2" max="2" width="31.1640625" customWidth="1"/>
    <col min="3" max="3" width="13.5" customWidth="1"/>
    <col min="4" max="4" width="17.6640625" customWidth="1"/>
    <col min="5" max="6" width="13.5" customWidth="1"/>
    <col min="7" max="7" width="16.1640625" customWidth="1"/>
    <col min="8" max="8" width="26.5" customWidth="1"/>
    <col min="9" max="9" width="33.5" customWidth="1"/>
    <col min="10" max="10" width="26.6640625" customWidth="1"/>
  </cols>
  <sheetData>
    <row r="1" spans="1:10" ht="25" x14ac:dyDescent="0.25">
      <c r="A1" s="70" t="s">
        <v>246</v>
      </c>
      <c r="B1" s="70"/>
      <c r="C1" s="70"/>
      <c r="D1" s="70"/>
      <c r="E1" s="70"/>
      <c r="F1" s="70"/>
      <c r="G1" s="70"/>
      <c r="H1" s="70"/>
      <c r="I1" s="70"/>
      <c r="J1" s="70"/>
    </row>
    <row r="2" spans="1:10" ht="18.5" customHeight="1" x14ac:dyDescent="0.15">
      <c r="A2" s="2" t="s">
        <v>245</v>
      </c>
      <c r="B2" s="2" t="s">
        <v>247</v>
      </c>
      <c r="C2" s="2" t="s">
        <v>232</v>
      </c>
      <c r="D2" s="2" t="s">
        <v>248</v>
      </c>
      <c r="E2" s="2" t="s">
        <v>233</v>
      </c>
      <c r="F2" s="2" t="s">
        <v>234</v>
      </c>
      <c r="G2" s="2" t="s">
        <v>249</v>
      </c>
      <c r="H2" s="2" t="s">
        <v>250</v>
      </c>
      <c r="I2" s="2" t="s">
        <v>251</v>
      </c>
      <c r="J2" s="1" t="s">
        <v>252</v>
      </c>
    </row>
    <row r="3" spans="1:10" ht="18.5" customHeight="1" x14ac:dyDescent="0.15">
      <c r="A3" s="1" t="s">
        <v>24</v>
      </c>
      <c r="B3">
        <v>42.1</v>
      </c>
      <c r="C3" s="6">
        <v>151.61000000000001</v>
      </c>
      <c r="D3" s="9">
        <v>1.59</v>
      </c>
      <c r="E3" s="6">
        <v>138.09</v>
      </c>
      <c r="F3" s="6">
        <v>176.06</v>
      </c>
      <c r="G3" s="7">
        <v>1.7999999999999999E-2</v>
      </c>
      <c r="H3" s="6">
        <v>65.3</v>
      </c>
      <c r="I3" s="8">
        <v>0.15</v>
      </c>
      <c r="J3" s="4">
        <v>2250</v>
      </c>
    </row>
    <row r="4" spans="1:10" ht="18.5" customHeight="1" x14ac:dyDescent="0.15">
      <c r="A4" s="1" t="s">
        <v>226</v>
      </c>
      <c r="B4">
        <v>20.5</v>
      </c>
      <c r="C4" s="6">
        <v>73.290000000000006</v>
      </c>
      <c r="D4" s="9">
        <v>0.28999999999999998</v>
      </c>
      <c r="E4" s="6">
        <v>31.42</v>
      </c>
      <c r="F4" s="6">
        <v>28.06</v>
      </c>
      <c r="G4" s="7">
        <v>3.5900000000000001E-2</v>
      </c>
      <c r="H4" s="6">
        <v>28.1</v>
      </c>
      <c r="I4" s="8">
        <v>0.35</v>
      </c>
      <c r="J4" s="4">
        <v>900</v>
      </c>
    </row>
    <row r="5" spans="1:10" ht="18.5" customHeight="1" x14ac:dyDescent="0.15">
      <c r="A5" s="1" t="s">
        <v>130</v>
      </c>
      <c r="B5">
        <v>10.5</v>
      </c>
      <c r="C5" s="6">
        <v>70.569999999999993</v>
      </c>
      <c r="D5" s="9">
        <v>0.19</v>
      </c>
      <c r="E5" s="6">
        <v>30.55</v>
      </c>
      <c r="F5" s="6">
        <v>16.34</v>
      </c>
      <c r="G5" s="7">
        <v>0.108</v>
      </c>
      <c r="H5" s="6">
        <v>38.4</v>
      </c>
      <c r="I5" s="8">
        <v>0.1</v>
      </c>
      <c r="J5" s="4">
        <v>900</v>
      </c>
    </row>
    <row r="6" spans="1:10" ht="18.5" customHeight="1" x14ac:dyDescent="0.15">
      <c r="A6" s="1" t="s">
        <v>172</v>
      </c>
      <c r="B6">
        <v>13.9</v>
      </c>
      <c r="C6" s="6">
        <v>70.19</v>
      </c>
      <c r="D6" s="9">
        <v>0.18</v>
      </c>
      <c r="E6" s="6">
        <v>31.72</v>
      </c>
      <c r="F6" s="6">
        <v>31.55</v>
      </c>
      <c r="G6" s="7">
        <v>0.26900000000000002</v>
      </c>
      <c r="H6" s="6">
        <v>30.6</v>
      </c>
      <c r="I6" s="8">
        <v>0.35</v>
      </c>
      <c r="J6" s="4">
        <v>750</v>
      </c>
    </row>
    <row r="7" spans="1:10" ht="18.5" customHeight="1" x14ac:dyDescent="0.15">
      <c r="A7" s="1" t="s">
        <v>222</v>
      </c>
      <c r="B7">
        <v>4.2</v>
      </c>
      <c r="C7" s="6">
        <v>123.83</v>
      </c>
      <c r="D7" s="9">
        <v>2.5</v>
      </c>
      <c r="E7" s="6">
        <v>179.52</v>
      </c>
      <c r="F7" s="6">
        <v>272.75</v>
      </c>
      <c r="G7" s="7">
        <v>3.6999999999999998E-2</v>
      </c>
      <c r="H7" s="6">
        <v>109.5</v>
      </c>
      <c r="I7" s="8">
        <v>0.37</v>
      </c>
      <c r="J7" s="4">
        <v>2250</v>
      </c>
    </row>
    <row r="9" spans="1:10" x14ac:dyDescent="0.15">
      <c r="A9" t="s">
        <v>253</v>
      </c>
      <c r="B9" s="16" t="s">
        <v>254</v>
      </c>
      <c r="E9" s="7"/>
    </row>
    <row r="10" spans="1:10" x14ac:dyDescent="0.15">
      <c r="A10" s="5" t="s">
        <v>255</v>
      </c>
      <c r="B10" t="s">
        <v>256</v>
      </c>
    </row>
    <row r="11" spans="1:10" x14ac:dyDescent="0.15">
      <c r="A11" s="5" t="s">
        <v>257</v>
      </c>
      <c r="B11" t="s">
        <v>258</v>
      </c>
    </row>
    <row r="12" spans="1:10" x14ac:dyDescent="0.15">
      <c r="A12" s="5" t="s">
        <v>250</v>
      </c>
      <c r="B12" t="s">
        <v>258</v>
      </c>
    </row>
    <row r="13" spans="1:10" x14ac:dyDescent="0.15">
      <c r="A13" s="5" t="s">
        <v>249</v>
      </c>
      <c r="B13" t="s">
        <v>258</v>
      </c>
    </row>
    <row r="14" spans="1:10" x14ac:dyDescent="0.15">
      <c r="A14" s="5" t="s">
        <v>234</v>
      </c>
      <c r="B14" t="s">
        <v>259</v>
      </c>
    </row>
    <row r="15" spans="1:10" x14ac:dyDescent="0.15">
      <c r="A15" s="5" t="s">
        <v>233</v>
      </c>
      <c r="B15" t="s">
        <v>259</v>
      </c>
    </row>
    <row r="16" spans="1:10" x14ac:dyDescent="0.15">
      <c r="A16" s="5" t="s">
        <v>232</v>
      </c>
      <c r="B16" t="s">
        <v>259</v>
      </c>
    </row>
    <row r="17" spans="1:2" x14ac:dyDescent="0.15">
      <c r="A17" s="5" t="s">
        <v>260</v>
      </c>
      <c r="B17" t="s">
        <v>261</v>
      </c>
    </row>
    <row r="18" spans="1:2" x14ac:dyDescent="0.15">
      <c r="A18" s="5" t="s">
        <v>247</v>
      </c>
      <c r="B18" t="s">
        <v>261</v>
      </c>
    </row>
  </sheetData>
  <sheetProtection sheet="1" objects="1" scenarios="1"/>
  <mergeCells count="1">
    <mergeCell ref="A1:J1"/>
  </mergeCells>
  <dataValidations count="1">
    <dataValidation type="textLength" operator="equal" allowBlank="1" showInputMessage="1" showErrorMessage="1" error="No Data Entry Allow" sqref="A2:J7" xr:uid="{C18EE33E-73F2-435E-93CC-AE90782DB8EC}">
      <formula1>1234567890</formula1>
    </dataValidation>
  </dataValidations>
  <hyperlinks>
    <hyperlink ref="A10" r:id="rId1" xr:uid="{F1DB8814-946F-474C-89AA-658E3038634F}"/>
    <hyperlink ref="A11" r:id="rId2" xr:uid="{9AA04E36-E6E2-4F8B-BEC0-58F601C4A3CA}"/>
    <hyperlink ref="A12" r:id="rId3" xr:uid="{C7F8BD75-B2B6-4F7A-9FCE-1B06CA55E210}"/>
    <hyperlink ref="A13" r:id="rId4" xr:uid="{FC223096-3F85-4A8E-8A74-285B6115D103}"/>
    <hyperlink ref="A14" r:id="rId5" xr:uid="{82EA1E78-0A67-43B3-8B6D-ACE06789D016}"/>
    <hyperlink ref="A15" r:id="rId6" xr:uid="{D4AC15D8-FC07-4F1E-BF9A-C399F2A40224}"/>
    <hyperlink ref="A16" r:id="rId7" xr:uid="{F842857B-A840-4EC3-A5C8-B4FE389A0B90}"/>
    <hyperlink ref="A17" r:id="rId8" xr:uid="{2686C553-0005-444F-AE39-A231049470FF}"/>
    <hyperlink ref="A18" r:id="rId9" xr:uid="{A36C162E-39C3-4511-B147-59A28C30B45E}"/>
  </hyperlinks>
  <pageMargins left="0.7" right="0.7" top="0.75" bottom="0.75" header="0.3" footer="0.3"/>
  <tableParts count="1">
    <tablePart r:id="rId10"/>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CCFC8-3FF3-4441-BD47-40C9AC713CA6}">
  <sheetPr codeName="Sheet7"/>
  <dimension ref="A1:K19"/>
  <sheetViews>
    <sheetView tabSelected="1" topLeftCell="D1" zoomScale="55" zoomScaleNormal="55" workbookViewId="0">
      <selection activeCell="B10" sqref="B10"/>
    </sheetView>
  </sheetViews>
  <sheetFormatPr baseColWidth="10" defaultColWidth="8.6640625" defaultRowHeight="14" x14ac:dyDescent="0.15"/>
  <cols>
    <col min="1" max="1" width="28.5" customWidth="1"/>
    <col min="2" max="8" width="26.33203125" style="3" customWidth="1"/>
    <col min="9" max="9" width="29.5" style="3" bestFit="1" customWidth="1"/>
    <col min="10" max="10" width="26.33203125" style="3" bestFit="1" customWidth="1"/>
    <col min="11" max="11" width="16.6640625" style="3" customWidth="1"/>
  </cols>
  <sheetData>
    <row r="1" spans="1:10" ht="25" x14ac:dyDescent="0.25">
      <c r="A1" s="70" t="s">
        <v>262</v>
      </c>
      <c r="B1" s="70"/>
      <c r="C1" s="70"/>
      <c r="D1" s="70"/>
      <c r="E1" s="70"/>
      <c r="F1" s="70"/>
      <c r="G1" s="70"/>
      <c r="H1" s="70"/>
      <c r="I1" s="70"/>
      <c r="J1" s="70"/>
    </row>
    <row r="2" spans="1:10" ht="32" customHeight="1" x14ac:dyDescent="0.15">
      <c r="A2" t="s">
        <v>245</v>
      </c>
      <c r="B2" s="3" t="s">
        <v>263</v>
      </c>
      <c r="C2" s="3" t="s">
        <v>264</v>
      </c>
      <c r="D2" s="3" t="s">
        <v>237</v>
      </c>
      <c r="E2" s="3" t="s">
        <v>265</v>
      </c>
      <c r="F2" s="3" t="s">
        <v>266</v>
      </c>
      <c r="G2" s="3" t="s">
        <v>267</v>
      </c>
      <c r="H2" s="3" t="s">
        <v>268</v>
      </c>
      <c r="I2" s="3" t="s">
        <v>269</v>
      </c>
      <c r="J2" s="3" t="s">
        <v>270</v>
      </c>
    </row>
    <row r="3" spans="1:10" ht="18.5" customHeight="1" x14ac:dyDescent="0.15">
      <c r="A3" t="s">
        <v>24</v>
      </c>
      <c r="B3" s="3">
        <v>85.83</v>
      </c>
      <c r="C3" s="3">
        <v>0.93500000000000005</v>
      </c>
      <c r="D3" s="3">
        <v>48984</v>
      </c>
      <c r="E3" s="3">
        <v>78.3</v>
      </c>
      <c r="F3" s="3">
        <v>67.2</v>
      </c>
      <c r="G3" s="3">
        <v>83.6</v>
      </c>
      <c r="H3" s="33">
        <f>42.3/100</f>
        <v>0.42299999999999999</v>
      </c>
      <c r="I3" s="3">
        <v>42.3</v>
      </c>
      <c r="J3" s="3">
        <v>8.41</v>
      </c>
    </row>
    <row r="4" spans="1:10" ht="18.5" customHeight="1" x14ac:dyDescent="0.15">
      <c r="A4" t="s">
        <v>226</v>
      </c>
      <c r="B4" s="3">
        <v>74.739999999999995</v>
      </c>
      <c r="C4" s="3">
        <v>0.94499999999999995</v>
      </c>
      <c r="D4" s="3">
        <v>4320</v>
      </c>
      <c r="E4" s="3">
        <v>55.9</v>
      </c>
      <c r="F4" s="3">
        <v>84.2</v>
      </c>
      <c r="G4" s="3">
        <v>71.099999999999994</v>
      </c>
      <c r="H4" s="33">
        <f>29.3/100</f>
        <v>0.29299999999999998</v>
      </c>
      <c r="I4" s="3">
        <v>29.3</v>
      </c>
      <c r="J4" s="3">
        <v>5.9</v>
      </c>
    </row>
    <row r="5" spans="1:10" ht="18.5" customHeight="1" x14ac:dyDescent="0.15">
      <c r="A5" t="s">
        <v>130</v>
      </c>
      <c r="B5" s="3">
        <v>70.36</v>
      </c>
      <c r="C5" s="3">
        <v>0.998</v>
      </c>
      <c r="D5" s="3">
        <v>11421</v>
      </c>
      <c r="E5" s="3">
        <v>53.6</v>
      </c>
      <c r="F5" s="3">
        <v>73</v>
      </c>
      <c r="G5" s="3">
        <v>39.799999999999997</v>
      </c>
      <c r="H5" s="33">
        <f>10.9/100</f>
        <v>0.109</v>
      </c>
      <c r="I5" s="3">
        <v>35.799999999999997</v>
      </c>
      <c r="J5" s="3">
        <v>6.77</v>
      </c>
    </row>
    <row r="6" spans="1:10" ht="18.5" customHeight="1" x14ac:dyDescent="0.15">
      <c r="A6" t="s">
        <v>172</v>
      </c>
      <c r="B6" s="3">
        <v>67.34</v>
      </c>
      <c r="C6" s="3">
        <v>0.56000000000000005</v>
      </c>
      <c r="D6" s="3">
        <v>1597</v>
      </c>
      <c r="E6" s="3">
        <v>57.2</v>
      </c>
      <c r="F6" s="3">
        <v>73.5</v>
      </c>
      <c r="G6" s="3">
        <v>71.900000000000006</v>
      </c>
      <c r="H6" s="33">
        <f>14/100</f>
        <v>0.14000000000000001</v>
      </c>
      <c r="I6" s="3">
        <v>38.1</v>
      </c>
      <c r="J6" s="3">
        <v>5.63</v>
      </c>
    </row>
    <row r="7" spans="1:10" ht="18.5" customHeight="1" x14ac:dyDescent="0.15">
      <c r="A7" t="s">
        <v>222</v>
      </c>
      <c r="B7" s="3">
        <v>79.739999999999995</v>
      </c>
      <c r="C7" s="3">
        <v>0.99</v>
      </c>
      <c r="D7" s="3">
        <v>80410</v>
      </c>
      <c r="E7" s="3">
        <v>50.8</v>
      </c>
      <c r="F7" s="3">
        <v>36.5</v>
      </c>
      <c r="G7" s="3">
        <v>77.8</v>
      </c>
      <c r="H7" s="33">
        <f>4.2/100</f>
        <v>4.2000000000000003E-2</v>
      </c>
      <c r="I7" s="3">
        <v>33.299999999999997</v>
      </c>
      <c r="J7" s="3">
        <v>8.73</v>
      </c>
    </row>
    <row r="10" spans="1:10" ht="16" x14ac:dyDescent="0.2">
      <c r="A10" s="13" t="s">
        <v>271</v>
      </c>
      <c r="B10" s="16" t="s">
        <v>254</v>
      </c>
    </row>
    <row r="11" spans="1:10" ht="15" x14ac:dyDescent="0.15">
      <c r="A11" s="5" t="s">
        <v>263</v>
      </c>
      <c r="B11" s="3" t="s">
        <v>272</v>
      </c>
    </row>
    <row r="12" spans="1:10" ht="15" x14ac:dyDescent="0.15">
      <c r="A12" s="5" t="s">
        <v>273</v>
      </c>
      <c r="B12" s="3" t="s">
        <v>274</v>
      </c>
    </row>
    <row r="13" spans="1:10" ht="15" x14ac:dyDescent="0.15">
      <c r="A13" s="5" t="s">
        <v>237</v>
      </c>
      <c r="B13" s="3" t="s">
        <v>275</v>
      </c>
    </row>
    <row r="14" spans="1:10" ht="15" x14ac:dyDescent="0.15">
      <c r="A14" s="5" t="s">
        <v>276</v>
      </c>
      <c r="B14" s="3" t="s">
        <v>261</v>
      </c>
    </row>
    <row r="15" spans="1:10" ht="15" x14ac:dyDescent="0.15">
      <c r="A15" s="5" t="s">
        <v>266</v>
      </c>
      <c r="B15" s="3" t="s">
        <v>261</v>
      </c>
    </row>
    <row r="16" spans="1:10" ht="15" x14ac:dyDescent="0.15">
      <c r="A16" s="5" t="s">
        <v>267</v>
      </c>
      <c r="B16" s="3" t="s">
        <v>261</v>
      </c>
    </row>
    <row r="17" spans="1:2" ht="15" x14ac:dyDescent="0.15">
      <c r="A17" s="5" t="s">
        <v>268</v>
      </c>
      <c r="B17" s="3" t="s">
        <v>261</v>
      </c>
    </row>
    <row r="18" spans="1:2" ht="15" x14ac:dyDescent="0.15">
      <c r="A18" s="5" t="s">
        <v>277</v>
      </c>
      <c r="B18" s="3" t="s">
        <v>261</v>
      </c>
    </row>
    <row r="19" spans="1:2" ht="15" x14ac:dyDescent="0.15">
      <c r="A19" s="5" t="s">
        <v>278</v>
      </c>
      <c r="B19" s="3" t="s">
        <v>279</v>
      </c>
    </row>
  </sheetData>
  <sheetProtection sheet="1" objects="1" scenarios="1"/>
  <mergeCells count="1">
    <mergeCell ref="A1:J1"/>
  </mergeCells>
  <dataValidations count="1">
    <dataValidation type="textLength" operator="equal" allowBlank="1" showInputMessage="1" showErrorMessage="1" error="No Data Entry Allow" sqref="A2:J7" xr:uid="{5893146F-0E3E-4AF9-A7DF-E3AA5460F975}">
      <formula1>1234567890</formula1>
    </dataValidation>
  </dataValidations>
  <hyperlinks>
    <hyperlink ref="A19" r:id="rId1" xr:uid="{4A1BE9F5-C95E-4702-AE14-C0E3260284F0}"/>
    <hyperlink ref="A13" r:id="rId2" xr:uid="{FD68CC5B-99EA-476A-85CB-AF960C042450}"/>
    <hyperlink ref="A12" r:id="rId3" xr:uid="{99893894-2B89-4FB5-A0D4-F82476D7A3B1}"/>
    <hyperlink ref="A11" r:id="rId4" xr:uid="{E8768733-ED6C-4057-B45F-1B2238B9E67A}"/>
    <hyperlink ref="A14" r:id="rId5" xr:uid="{3677D734-9A5F-4963-A170-BB935BA738CD}"/>
    <hyperlink ref="A15" r:id="rId6" xr:uid="{7A24EA09-6D3D-4DF3-95D6-9CC202270DE4}"/>
    <hyperlink ref="A16" r:id="rId7" xr:uid="{C7B6CEA0-44E6-4E9B-96DC-4306E29EE129}"/>
    <hyperlink ref="A17" r:id="rId8" xr:uid="{21BFD194-A7FD-49D8-94E9-96C534B7F5E9}"/>
    <hyperlink ref="A18" r:id="rId9" xr:uid="{9A04DB3E-04AE-424C-BC0D-C5DD445DC74F}"/>
  </hyperlinks>
  <pageMargins left="0.7" right="0.7" top="0.75" bottom="0.75" header="0.3" footer="0.3"/>
  <tableParts count="1">
    <tablePart r:id="rId1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14C07-972E-4D40-8072-A8CEBC158D0C}">
  <sheetPr codeName="Sheet8"/>
  <dimension ref="A1:I17"/>
  <sheetViews>
    <sheetView topLeftCell="D1" zoomScale="70" zoomScaleNormal="70" workbookViewId="0">
      <selection activeCell="F10" sqref="F10"/>
    </sheetView>
  </sheetViews>
  <sheetFormatPr baseColWidth="10" defaultColWidth="8.6640625" defaultRowHeight="14" x14ac:dyDescent="0.15"/>
  <cols>
    <col min="1" max="1" width="28.1640625" customWidth="1"/>
    <col min="2" max="2" width="26.6640625" customWidth="1"/>
    <col min="3" max="3" width="23.83203125" bestFit="1" customWidth="1"/>
    <col min="4" max="4" width="23.33203125" bestFit="1" customWidth="1"/>
    <col min="5" max="5" width="21.1640625" bestFit="1" customWidth="1"/>
    <col min="6" max="6" width="34.33203125" customWidth="1"/>
    <col min="7" max="7" width="25.6640625" customWidth="1"/>
    <col min="8" max="8" width="19" bestFit="1" customWidth="1"/>
    <col min="9" max="9" width="25.1640625" bestFit="1" customWidth="1"/>
  </cols>
  <sheetData>
    <row r="1" spans="1:9" ht="20" thickBot="1" x14ac:dyDescent="0.25">
      <c r="A1" s="71" t="s">
        <v>280</v>
      </c>
      <c r="B1" s="71"/>
      <c r="C1" s="71"/>
      <c r="D1" s="71"/>
      <c r="E1" s="71"/>
      <c r="F1" s="71"/>
      <c r="G1" s="71"/>
      <c r="H1" s="71"/>
      <c r="I1" s="71"/>
    </row>
    <row r="2" spans="1:9" ht="17" customHeight="1" thickTop="1" x14ac:dyDescent="0.15">
      <c r="A2" t="s">
        <v>245</v>
      </c>
      <c r="B2" t="s">
        <v>281</v>
      </c>
      <c r="C2" t="s">
        <v>244</v>
      </c>
      <c r="D2" t="s">
        <v>282</v>
      </c>
      <c r="E2" t="s">
        <v>283</v>
      </c>
      <c r="F2" t="s">
        <v>284</v>
      </c>
      <c r="G2" t="s">
        <v>285</v>
      </c>
      <c r="H2" t="s">
        <v>286</v>
      </c>
      <c r="I2" t="s">
        <v>287</v>
      </c>
    </row>
    <row r="3" spans="1:9" ht="17" customHeight="1" x14ac:dyDescent="0.15">
      <c r="A3" t="s">
        <v>24</v>
      </c>
      <c r="B3">
        <v>97.4</v>
      </c>
      <c r="C3" s="7">
        <v>0.16500000000000001</v>
      </c>
      <c r="D3">
        <v>12</v>
      </c>
      <c r="E3">
        <v>12</v>
      </c>
      <c r="F3">
        <v>5.3360000000000003</v>
      </c>
      <c r="G3" s="32">
        <v>6130420</v>
      </c>
      <c r="H3" s="32">
        <v>17181</v>
      </c>
      <c r="I3" s="6">
        <v>4</v>
      </c>
    </row>
    <row r="4" spans="1:9" ht="17" customHeight="1" x14ac:dyDescent="0.15">
      <c r="A4" t="s">
        <v>226</v>
      </c>
      <c r="B4">
        <v>69.099999999999994</v>
      </c>
      <c r="C4" s="7">
        <v>0.2</v>
      </c>
      <c r="D4">
        <v>46</v>
      </c>
      <c r="E4">
        <v>77</v>
      </c>
      <c r="F4">
        <v>4.4139999999999997</v>
      </c>
      <c r="G4" s="32">
        <v>186009</v>
      </c>
      <c r="H4" s="32">
        <v>3149</v>
      </c>
      <c r="I4" s="6">
        <v>3.2</v>
      </c>
    </row>
    <row r="5" spans="1:9" ht="17" customHeight="1" x14ac:dyDescent="0.15">
      <c r="A5" t="s">
        <v>130</v>
      </c>
      <c r="B5">
        <v>86.9</v>
      </c>
      <c r="C5" s="7">
        <v>0.2</v>
      </c>
      <c r="D5">
        <v>81</v>
      </c>
      <c r="E5">
        <v>101</v>
      </c>
      <c r="F5">
        <v>4.6399999999999997</v>
      </c>
      <c r="G5" s="32">
        <v>45202</v>
      </c>
      <c r="H5" s="32">
        <v>3661</v>
      </c>
      <c r="I5" s="6">
        <v>2.5</v>
      </c>
    </row>
    <row r="6" spans="1:9" ht="17" customHeight="1" x14ac:dyDescent="0.15">
      <c r="A6" t="s">
        <v>172</v>
      </c>
      <c r="B6">
        <v>53.1</v>
      </c>
      <c r="C6" s="7">
        <v>0.28999999999999998</v>
      </c>
      <c r="D6">
        <v>88</v>
      </c>
      <c r="E6">
        <v>140</v>
      </c>
      <c r="F6">
        <v>3.8239999999999998</v>
      </c>
      <c r="G6" s="32">
        <v>32567</v>
      </c>
      <c r="H6" s="32">
        <v>1399</v>
      </c>
      <c r="I6" s="6">
        <v>2.2000000000000002</v>
      </c>
    </row>
    <row r="7" spans="1:9" ht="17" customHeight="1" x14ac:dyDescent="0.15">
      <c r="A7" t="s">
        <v>222</v>
      </c>
      <c r="B7">
        <v>95.2</v>
      </c>
      <c r="C7" s="7">
        <v>0.2581</v>
      </c>
      <c r="D7">
        <v>3</v>
      </c>
      <c r="E7">
        <v>23</v>
      </c>
      <c r="F7">
        <v>7.5250000000000004</v>
      </c>
      <c r="G7" s="32">
        <v>44719661</v>
      </c>
      <c r="H7" s="32">
        <v>24327</v>
      </c>
      <c r="I7" s="6">
        <v>3.9</v>
      </c>
    </row>
    <row r="8" spans="1:9" ht="17" customHeight="1" x14ac:dyDescent="0.15">
      <c r="C8" s="7"/>
      <c r="G8" s="10"/>
      <c r="H8" s="10"/>
      <c r="I8" s="6"/>
    </row>
    <row r="9" spans="1:9" ht="16" x14ac:dyDescent="0.2">
      <c r="A9" s="13" t="s">
        <v>271</v>
      </c>
      <c r="B9" s="16" t="s">
        <v>254</v>
      </c>
      <c r="G9" s="10"/>
    </row>
    <row r="10" spans="1:9" x14ac:dyDescent="0.15">
      <c r="A10" s="5" t="s">
        <v>288</v>
      </c>
      <c r="B10" t="s">
        <v>289</v>
      </c>
    </row>
    <row r="11" spans="1:9" x14ac:dyDescent="0.15">
      <c r="A11" s="5" t="s">
        <v>15</v>
      </c>
      <c r="B11" t="s">
        <v>290</v>
      </c>
    </row>
    <row r="12" spans="1:9" x14ac:dyDescent="0.15">
      <c r="A12" s="5" t="s">
        <v>282</v>
      </c>
      <c r="B12" t="s">
        <v>291</v>
      </c>
    </row>
    <row r="13" spans="1:9" x14ac:dyDescent="0.15">
      <c r="A13" s="5" t="s">
        <v>283</v>
      </c>
      <c r="B13" t="s">
        <v>292</v>
      </c>
    </row>
    <row r="14" spans="1:9" x14ac:dyDescent="0.15">
      <c r="A14" s="5" t="s">
        <v>284</v>
      </c>
      <c r="B14" t="s">
        <v>293</v>
      </c>
    </row>
    <row r="15" spans="1:9" x14ac:dyDescent="0.15">
      <c r="A15" s="5" t="s">
        <v>285</v>
      </c>
      <c r="B15" t="s">
        <v>292</v>
      </c>
    </row>
    <row r="16" spans="1:9" x14ac:dyDescent="0.15">
      <c r="A16" s="5" t="s">
        <v>286</v>
      </c>
      <c r="B16" t="s">
        <v>294</v>
      </c>
    </row>
    <row r="17" spans="1:2" x14ac:dyDescent="0.15">
      <c r="A17" s="5" t="s">
        <v>287</v>
      </c>
      <c r="B17" t="s">
        <v>295</v>
      </c>
    </row>
  </sheetData>
  <sheetProtection sheet="1" objects="1" scenarios="1"/>
  <mergeCells count="1">
    <mergeCell ref="A1:I1"/>
  </mergeCells>
  <dataValidations count="1">
    <dataValidation type="textLength" operator="equal" allowBlank="1" showInputMessage="1" showErrorMessage="1" error="No Data Entry Allow" sqref="A2:I7" xr:uid="{B8920990-CACD-40F0-87F7-6C3EDDB5E28C}">
      <formula1>123456789</formula1>
    </dataValidation>
  </dataValidations>
  <hyperlinks>
    <hyperlink ref="A14" r:id="rId1" xr:uid="{14A1A41F-1460-4542-ADD8-D427771975B1}"/>
    <hyperlink ref="A10" r:id="rId2" xr:uid="{24666702-8081-4ED8-9E74-C1E542F2355F}"/>
    <hyperlink ref="A11" r:id="rId3" xr:uid="{E8585985-7E5E-4880-9BC6-5A7BD21D0247}"/>
    <hyperlink ref="A12" r:id="rId4" xr:uid="{328D0787-D688-483F-B5CA-8337769C5908}"/>
    <hyperlink ref="A13" r:id="rId5" xr:uid="{15F67C43-3D33-44B4-9A13-00BC9B1BC9AE}"/>
    <hyperlink ref="A15" r:id="rId6" xr:uid="{5F98E954-3F44-4765-8258-22CA91D05715}"/>
    <hyperlink ref="A16" r:id="rId7" xr:uid="{F9B0B160-54FF-45DD-AE0D-8DA2408C3D3B}"/>
    <hyperlink ref="A17" r:id="rId8" xr:uid="{F454F033-BC6C-47CD-AB55-1FF54ACC9B5B}"/>
  </hyperlinks>
  <pageMargins left="0.7" right="0.7" top="0.75" bottom="0.75" header="0.3" footer="0.3"/>
  <tableParts count="1">
    <tablePart r:id="rId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7B1EE-9DC0-4F78-8224-67817B0CE5C9}">
  <sheetPr codeName="Sheet9"/>
  <dimension ref="A1:F13"/>
  <sheetViews>
    <sheetView workbookViewId="0">
      <selection activeCell="D12" sqref="D12"/>
    </sheetView>
  </sheetViews>
  <sheetFormatPr baseColWidth="10" defaultColWidth="8.6640625" defaultRowHeight="14" x14ac:dyDescent="0.15"/>
  <cols>
    <col min="1" max="1" width="24.1640625" customWidth="1"/>
    <col min="2" max="2" width="23.83203125" bestFit="1" customWidth="1"/>
    <col min="3" max="3" width="15.6640625" customWidth="1"/>
    <col min="4" max="4" width="27.6640625" bestFit="1" customWidth="1"/>
    <col min="5" max="5" width="25.1640625" customWidth="1"/>
    <col min="6" max="6" width="20.6640625" customWidth="1"/>
  </cols>
  <sheetData>
    <row r="1" spans="1:6" ht="25" x14ac:dyDescent="0.25">
      <c r="A1" s="70" t="s">
        <v>296</v>
      </c>
      <c r="B1" s="70"/>
      <c r="C1" s="70"/>
      <c r="D1" s="70"/>
      <c r="E1" s="70"/>
      <c r="F1" s="70"/>
    </row>
    <row r="2" spans="1:6" ht="18.5" customHeight="1" x14ac:dyDescent="0.15">
      <c r="A2" t="s">
        <v>245</v>
      </c>
      <c r="B2" t="s">
        <v>13</v>
      </c>
      <c r="C2" t="s">
        <v>297</v>
      </c>
      <c r="D2" t="s">
        <v>298</v>
      </c>
      <c r="E2" t="s">
        <v>299</v>
      </c>
      <c r="F2" t="s">
        <v>300</v>
      </c>
    </row>
    <row r="3" spans="1:6" ht="18.5" customHeight="1" x14ac:dyDescent="0.15">
      <c r="A3" t="s">
        <v>24</v>
      </c>
      <c r="B3" s="11">
        <v>254.7</v>
      </c>
      <c r="C3">
        <v>0.15</v>
      </c>
      <c r="D3" s="12">
        <v>0.92</v>
      </c>
      <c r="E3">
        <v>61</v>
      </c>
      <c r="F3">
        <v>51.95</v>
      </c>
    </row>
    <row r="4" spans="1:6" ht="18.5" customHeight="1" x14ac:dyDescent="0.15">
      <c r="A4" t="s">
        <v>226</v>
      </c>
      <c r="B4">
        <v>78.34</v>
      </c>
      <c r="C4">
        <v>0.15</v>
      </c>
      <c r="D4" s="12">
        <v>0.86</v>
      </c>
      <c r="E4">
        <v>22</v>
      </c>
      <c r="F4">
        <v>36.36</v>
      </c>
    </row>
    <row r="5" spans="1:6" ht="18.5" customHeight="1" x14ac:dyDescent="0.15">
      <c r="A5" t="s">
        <v>130</v>
      </c>
      <c r="B5">
        <v>63.28</v>
      </c>
      <c r="C5">
        <v>0.33</v>
      </c>
      <c r="D5" s="12">
        <v>0.86</v>
      </c>
      <c r="E5">
        <v>34</v>
      </c>
      <c r="F5">
        <v>48.05</v>
      </c>
    </row>
    <row r="6" spans="1:6" ht="18.5" customHeight="1" x14ac:dyDescent="0.15">
      <c r="A6" t="s">
        <v>172</v>
      </c>
      <c r="B6">
        <v>13.84</v>
      </c>
      <c r="C6">
        <v>2.35</v>
      </c>
      <c r="D6" s="12">
        <v>0.50900000000000001</v>
      </c>
      <c r="E6">
        <v>26</v>
      </c>
      <c r="F6">
        <v>41.56</v>
      </c>
    </row>
    <row r="7" spans="1:6" ht="18.5" customHeight="1" x14ac:dyDescent="0.15">
      <c r="A7" t="s">
        <v>222</v>
      </c>
      <c r="B7">
        <v>203.81</v>
      </c>
      <c r="C7">
        <v>0.45</v>
      </c>
      <c r="D7" s="12">
        <v>0.93400000000000005</v>
      </c>
      <c r="E7">
        <v>76</v>
      </c>
      <c r="F7">
        <v>64.94</v>
      </c>
    </row>
    <row r="9" spans="1:6" ht="16" x14ac:dyDescent="0.2">
      <c r="A9" s="13" t="s">
        <v>271</v>
      </c>
      <c r="B9" s="16" t="s">
        <v>254</v>
      </c>
    </row>
    <row r="10" spans="1:6" x14ac:dyDescent="0.15">
      <c r="A10" s="5" t="s">
        <v>301</v>
      </c>
      <c r="B10" t="s">
        <v>294</v>
      </c>
    </row>
    <row r="11" spans="1:6" x14ac:dyDescent="0.15">
      <c r="A11" s="5" t="s">
        <v>297</v>
      </c>
      <c r="B11" t="s">
        <v>294</v>
      </c>
    </row>
    <row r="12" spans="1:6" x14ac:dyDescent="0.15">
      <c r="A12" s="5" t="s">
        <v>298</v>
      </c>
      <c r="B12" t="s">
        <v>294</v>
      </c>
    </row>
    <row r="13" spans="1:6" x14ac:dyDescent="0.15">
      <c r="A13" s="5" t="s">
        <v>299</v>
      </c>
      <c r="B13" t="s">
        <v>302</v>
      </c>
    </row>
  </sheetData>
  <sheetProtection sheet="1" objects="1" scenarios="1"/>
  <mergeCells count="1">
    <mergeCell ref="A1:F1"/>
  </mergeCells>
  <dataValidations count="1">
    <dataValidation type="textLength" operator="equal" allowBlank="1" showInputMessage="1" showErrorMessage="1" error="No Data Entry Allow" sqref="A2:F7" xr:uid="{A23348D7-2D9B-455D-A6D2-041168A0E3FC}">
      <formula1>0</formula1>
    </dataValidation>
  </dataValidations>
  <hyperlinks>
    <hyperlink ref="A11" r:id="rId1" xr:uid="{4EC8600C-DEF7-45FE-97BF-E846EDC63F37}"/>
    <hyperlink ref="A10" r:id="rId2" xr:uid="{E1B59E01-134F-4823-B3FE-69899E8C3316}"/>
    <hyperlink ref="A12" r:id="rId3" xr:uid="{997414CD-9A3A-47CB-B626-E94A3322213E}"/>
    <hyperlink ref="A13" r:id="rId4" xr:uid="{D8C27588-888A-41CC-8C94-156F96C572CC}"/>
  </hyperlinks>
  <pageMargins left="0.7" right="0.7" top="0.75" bottom="0.75" header="0.3" footer="0.3"/>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32C6F-8233-4537-92AC-C56952C48858}">
  <sheetPr codeName="Sheet10"/>
  <dimension ref="A1:H15"/>
  <sheetViews>
    <sheetView zoomScale="70" zoomScaleNormal="70" workbookViewId="0">
      <selection activeCell="F26" sqref="F26"/>
    </sheetView>
  </sheetViews>
  <sheetFormatPr baseColWidth="10" defaultColWidth="8.6640625" defaultRowHeight="14" x14ac:dyDescent="0.15"/>
  <cols>
    <col min="1" max="1" width="29.5" customWidth="1"/>
    <col min="2" max="2" width="19.33203125" customWidth="1"/>
    <col min="3" max="3" width="22.5" bestFit="1" customWidth="1"/>
    <col min="4" max="4" width="25.5" customWidth="1"/>
    <col min="5" max="5" width="27.6640625" customWidth="1"/>
    <col min="6" max="6" width="19.5" customWidth="1"/>
    <col min="7" max="7" width="17.33203125" customWidth="1"/>
    <col min="8" max="8" width="32" bestFit="1" customWidth="1"/>
  </cols>
  <sheetData>
    <row r="1" spans="1:8" ht="26" thickBot="1" x14ac:dyDescent="0.3">
      <c r="A1" s="72" t="s">
        <v>233</v>
      </c>
      <c r="B1" s="72"/>
      <c r="C1" s="72"/>
      <c r="D1" s="72"/>
      <c r="E1" s="72"/>
      <c r="F1" s="72"/>
      <c r="G1" s="72"/>
      <c r="H1" s="72"/>
    </row>
    <row r="2" spans="1:8" ht="19.25" customHeight="1" thickTop="1" x14ac:dyDescent="0.15">
      <c r="A2" t="s">
        <v>245</v>
      </c>
      <c r="B2" t="s">
        <v>303</v>
      </c>
      <c r="C2" t="s">
        <v>304</v>
      </c>
      <c r="D2" t="s">
        <v>241</v>
      </c>
      <c r="E2" t="s">
        <v>305</v>
      </c>
      <c r="F2" t="s">
        <v>306</v>
      </c>
      <c r="G2" t="s">
        <v>266</v>
      </c>
      <c r="H2" t="s">
        <v>307</v>
      </c>
    </row>
    <row r="3" spans="1:8" ht="19.25" customHeight="1" x14ac:dyDescent="0.15">
      <c r="A3" t="s">
        <v>24</v>
      </c>
      <c r="B3">
        <v>1.3</v>
      </c>
      <c r="C3">
        <v>43.1</v>
      </c>
      <c r="D3" s="12">
        <v>0.92</v>
      </c>
      <c r="E3">
        <v>23.87</v>
      </c>
      <c r="F3">
        <v>65.599999999999994</v>
      </c>
      <c r="G3">
        <v>67.2</v>
      </c>
      <c r="H3">
        <v>74.2</v>
      </c>
    </row>
    <row r="4" spans="1:8" ht="19.25" customHeight="1" x14ac:dyDescent="0.15">
      <c r="A4" t="s">
        <v>226</v>
      </c>
      <c r="B4">
        <v>0.8</v>
      </c>
      <c r="C4">
        <v>31.8</v>
      </c>
      <c r="D4" s="12">
        <v>0.8</v>
      </c>
      <c r="E4">
        <v>8.36</v>
      </c>
      <c r="F4">
        <v>59.9</v>
      </c>
      <c r="G4">
        <v>84.2</v>
      </c>
      <c r="H4">
        <v>66.3</v>
      </c>
    </row>
    <row r="5" spans="1:8" ht="19.25" customHeight="1" x14ac:dyDescent="0.15">
      <c r="A5" t="s">
        <v>130</v>
      </c>
      <c r="B5">
        <v>4.0999999999999996</v>
      </c>
      <c r="C5">
        <v>67.2</v>
      </c>
      <c r="D5" s="12">
        <v>0.86</v>
      </c>
      <c r="E5">
        <v>40.28</v>
      </c>
      <c r="F5">
        <v>60.4</v>
      </c>
      <c r="G5">
        <v>73</v>
      </c>
      <c r="H5">
        <v>61.1</v>
      </c>
    </row>
    <row r="6" spans="1:8" ht="19.25" customHeight="1" x14ac:dyDescent="0.15">
      <c r="A6" t="s">
        <v>172</v>
      </c>
      <c r="B6">
        <v>1.1000000000000001</v>
      </c>
      <c r="C6">
        <v>6.3</v>
      </c>
      <c r="D6" s="12">
        <v>0.63</v>
      </c>
      <c r="E6">
        <v>10.84</v>
      </c>
      <c r="F6">
        <v>59.5</v>
      </c>
      <c r="G6">
        <v>73.5</v>
      </c>
      <c r="H6">
        <v>43.1</v>
      </c>
    </row>
    <row r="7" spans="1:8" ht="19.25" customHeight="1" x14ac:dyDescent="0.15">
      <c r="A7" t="s">
        <v>222</v>
      </c>
      <c r="B7">
        <v>2.6</v>
      </c>
      <c r="C7">
        <v>28.7</v>
      </c>
      <c r="D7" s="12">
        <v>0.89</v>
      </c>
      <c r="E7">
        <v>35.549999999999997</v>
      </c>
      <c r="F7">
        <v>68.2</v>
      </c>
      <c r="G7">
        <v>36.5</v>
      </c>
      <c r="H7">
        <v>81.3</v>
      </c>
    </row>
    <row r="9" spans="1:8" ht="16" x14ac:dyDescent="0.2">
      <c r="A9" s="13" t="s">
        <v>271</v>
      </c>
      <c r="B9" s="16" t="s">
        <v>254</v>
      </c>
    </row>
    <row r="10" spans="1:8" x14ac:dyDescent="0.15">
      <c r="A10" s="5" t="s">
        <v>308</v>
      </c>
      <c r="B10" t="s">
        <v>309</v>
      </c>
    </row>
    <row r="11" spans="1:8" x14ac:dyDescent="0.15">
      <c r="A11" s="5" t="s">
        <v>304</v>
      </c>
      <c r="B11" t="s">
        <v>310</v>
      </c>
    </row>
    <row r="12" spans="1:8" x14ac:dyDescent="0.15">
      <c r="A12" s="5" t="s">
        <v>305</v>
      </c>
      <c r="B12" t="s">
        <v>310</v>
      </c>
    </row>
    <row r="13" spans="1:8" x14ac:dyDescent="0.15">
      <c r="A13" s="5" t="s">
        <v>311</v>
      </c>
      <c r="B13" t="s">
        <v>261</v>
      </c>
    </row>
    <row r="14" spans="1:8" x14ac:dyDescent="0.15">
      <c r="A14" s="5" t="s">
        <v>266</v>
      </c>
      <c r="B14" t="s">
        <v>261</v>
      </c>
    </row>
    <row r="15" spans="1:8" x14ac:dyDescent="0.15">
      <c r="A15" s="5" t="s">
        <v>307</v>
      </c>
      <c r="B15" t="s">
        <v>312</v>
      </c>
    </row>
  </sheetData>
  <sheetProtection sheet="1" objects="1" scenarios="1"/>
  <mergeCells count="1">
    <mergeCell ref="A1:H1"/>
  </mergeCells>
  <dataValidations count="1">
    <dataValidation type="textLength" operator="equal" allowBlank="1" showInputMessage="1" showErrorMessage="1" error="No Data Entry Allow" sqref="A2:H7" xr:uid="{A85925D1-FB08-4BBC-BD12-6D705B1AF83A}">
      <formula1>0</formula1>
    </dataValidation>
  </dataValidations>
  <hyperlinks>
    <hyperlink ref="A10" r:id="rId1" xr:uid="{5346BB59-69F9-49CE-8897-63277358AD9A}"/>
    <hyperlink ref="A11" r:id="rId2" xr:uid="{502FFCEB-441A-4616-9FDC-EBCD3E8BB8F9}"/>
    <hyperlink ref="A12" r:id="rId3" xr:uid="{BEC1E998-1C18-4BDA-8CC5-25EECC9C7F74}"/>
    <hyperlink ref="A13" r:id="rId4" xr:uid="{6B682316-0FDF-4CA7-8B67-6DE21B2A31C2}"/>
    <hyperlink ref="A15" r:id="rId5" xr:uid="{6738C00B-8F60-4AF6-954A-952D16A685A2}"/>
    <hyperlink ref="A14" r:id="rId6" xr:uid="{74682EDC-951D-4B42-ADA2-8C41C1CC8AEA}"/>
  </hyperlinks>
  <pageMargins left="0.7" right="0.7" top="0.75" bottom="0.75" header="0.3" footer="0.3"/>
  <tableParts count="1">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7BB9207-A2AF-4AD4-BD6A-2FF8518B7FC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Introduction</vt:lpstr>
      <vt:lpstr>Dashboards</vt:lpstr>
      <vt:lpstr>PrecipitationTable</vt:lpstr>
      <vt:lpstr>PrecipitationInput</vt:lpstr>
      <vt:lpstr>PPP Index</vt:lpstr>
      <vt:lpstr>Pivot</vt:lpstr>
      <vt:lpstr>Region</vt:lpstr>
      <vt:lpstr>Cost</vt:lpstr>
      <vt:lpstr>Quality</vt:lpstr>
      <vt:lpstr>Business Environment</vt:lpstr>
      <vt:lpstr>Internet</vt:lpstr>
      <vt:lpstr>Healthcare</vt:lpstr>
      <vt:lpstr>'PPP Index'!Print_Area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Jiawei Sui</dc:creator>
  <cp:keywords/>
  <dc:description/>
  <cp:lastModifiedBy>Rameen Mustafa</cp:lastModifiedBy>
  <cp:revision/>
  <dcterms:created xsi:type="dcterms:W3CDTF">2023-11-07T21:50:29Z</dcterms:created>
  <dcterms:modified xsi:type="dcterms:W3CDTF">2025-06-01T01:36:33Z</dcterms:modified>
  <cp:category/>
  <cp:contentStatus/>
</cp:coreProperties>
</file>